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pace13ound\01. Study\UnityTeamProject\Git\BillsMustBePaid\Docs\"/>
    </mc:Choice>
  </mc:AlternateContent>
  <xr:revisionPtr revIDLastSave="0" documentId="13_ncr:1_{AAA3DD91-E76A-446E-9DEE-D9E90DE3D93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오락실(5팀) 기능명세 &amp; 일정관리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<sst xmlns="http://schemas.openxmlformats.org/spreadsheetml/2006/main" count="1025" uniqueCount="568">
  <si>
    <t>PL-SKILL-02, PL-STAT-03 ~ 08</t>
  </si>
  <si>
    <t>PL-STAMINA-07, PL-STAMINA-09</t>
  </si>
  <si>
    <t>전투 중 특정 스킬 효과가 발동할 떄 해당 효과의 사운드를 재생, 연속 발동시 사운드가 지나치게 겹치지 않도록 재생 규칙 정하기</t>
  </si>
  <si>
    <t>스킬 효과가 실제 전투에서 발동하는 경우 해동 효과에 맞는 이펙트를 재생, 단순 능력치 증가와 조건부 발동 효과는 구분해 적용</t>
  </si>
  <si>
    <t>기본 공격 간격과 성장값을 합산한다. 최종값이 0 이하가 되지 않도록 제한</t>
  </si>
  <si>
    <t>스태미나 고갈 이벤트를 게임 진행 시스템에 전달하고 게임 오버 처리를 요청</t>
  </si>
  <si>
    <t>만료/실패 청구서를 종료 상태로 고정하고 파산 이벤트를 결과 화면 계약에 전달</t>
  </si>
  <si>
    <t>발행 시간/턴, 누적 획득액, 진행 스테이지 기반 청구액 규칙을 데이터화</t>
  </si>
  <si>
    <t>동일한 대상이 여러 콜라이더를 가지고 있어도 한번의 공격에서 한번만 타격</t>
  </si>
  <si>
    <t>일시정지나 게임 종료시 공격을 제한하고 진행 중인 공격의 처리 규칙을 적용</t>
  </si>
  <si>
    <t>스테이지 진행 시간에 따라 스태미나를 감소, 초당 소모량을 설정할 수 있음.</t>
  </si>
  <si>
    <t>스태미나가 낮거나 마감이 가까워졌을 때 시계 초침 소리가 빨라지는 연출을 연결</t>
  </si>
  <si>
    <t>스테이지 시작 시 진행 정보를 설정하고 저금통 시스템 등에 시작 시점 전달</t>
  </si>
  <si>
    <t>클리어 조건 충족 시 스테이지 종료 및 게임 상태 변경, 클리어 이벤트 전달</t>
  </si>
  <si>
    <t>성장 시스템에서 스킬 해금 결과를 전달 받고 스킬 ID, 효과 종류, 적용 수치 등 플레이어에 필요한 데이터를 전달받는 규칙을 협의</t>
  </si>
  <si>
    <t>스테이지 전투에서 보여지게 될 상황과 연출 확인 및 검증</t>
  </si>
  <si>
    <t>기본 치명타 확률과 성장값을 합산하고 0~1 범위로 제한</t>
  </si>
  <si>
    <t>기본 최대 스태미나와 성장값을 합산해 최종 최대값을 제공</t>
  </si>
  <si>
    <t>기본 공격 범위와 성장값을 합산하고 유효한 범위인지 확인</t>
  </si>
  <si>
    <t>PL-STAMINA-01, PL-STAMINA-05</t>
  </si>
  <si>
    <t>게임 상태에 따른 BGM 전환</t>
  </si>
  <si>
    <t>FIN-01-03, UI-02-01</t>
  </si>
  <si>
    <t>스킬 UI 상태 동기화·피드백</t>
  </si>
  <si>
    <t>OBJECT - 02, PIG-AI</t>
  </si>
  <si>
    <t>완료예정일 (yyyy-MM-dd)</t>
  </si>
  <si>
    <t>UI-03-01, UI-03-02</t>
  </si>
  <si>
    <t>해금된 저금통 UI 적용 및 확인</t>
  </si>
  <si>
    <t>새로운 저금통 해금, 업적 시스템</t>
  </si>
  <si>
    <t>이펙트 및 사운드 중복 재생 방지</t>
  </si>
  <si>
    <t xml:space="preserve">게임 맵에 저금통 총 생성 관리 </t>
  </si>
  <si>
    <t>전체 전투 흐름 및 연출 검증</t>
  </si>
  <si>
    <t>저금통을 파괴했을때 랜덤 보상 관리</t>
  </si>
  <si>
    <t>게임 맵에 코인 오브젝트 생성 관리</t>
  </si>
  <si>
    <t>공격 시작, 진행, 종료 상태를 관리, 하나의 공격에서 타격 판정이 중복되지 않도록 함.</t>
  </si>
  <si>
    <t xml:space="preserve"> 스킬 해금 후 능력치가 반영되고, 실제 효과 및 연출이 의도한 시점에 재생되는지 확인</t>
  </si>
  <si>
    <t>미납 건수, 총 청구 금액, 최근 납기, 임박 상태를 게임 HUD에 표현하고 이벤트 시 갱신</t>
  </si>
  <si>
    <t>치명타 확률을 이용해 치명타를 판정하고 추가 피해를 계산, 피해 계산 책임을 팀원2와 협의</t>
  </si>
  <si>
    <t>선택 노드 상세, 강화 비용/변화 수치, 해금·강화 버튼, 부족 자원·조건 미충족 안내</t>
  </si>
  <si>
    <t>고갈 이후 일반 회복만으로 임의 부활하지 않도록하고 재시작 시 초기화 규칙은 별도로 정의</t>
  </si>
  <si>
    <t>Title, Playing, Paused, StageClear, GameOver 상태 관리</t>
  </si>
  <si>
    <t>납부 버튼, 부족액 검증 메시지, 성공/실패 표시, 중복 클릭 방지 및 최신 잔액 반영</t>
  </si>
  <si>
    <t>공격 대상에게 플레이어의 최종 공격력을 전달, 대상의 실제 체력 감소는 대상 시스템이 담당</t>
  </si>
  <si>
    <t>동일한 스킬 해금 결과가 중복 전달되더라도 의도하지 않은 능력치 중복 증가가 발생하지 않도록 하기
 ㄴ 스킬의 중복 해금 가능 여부와 중첩 규칙을 성장 시스템 담당자와 확정</t>
  </si>
  <si>
    <t xml:space="preserve"> 게임 재시작이나 성장 초기화 시 해금 효과를 어떻게 초기화할지 규칙을 정하고 적용
 ㄴ 영구 성장과 한판에만 적용된느 성장 효과가 있다면 구분</t>
  </si>
  <si>
    <t>해상도/캔버스 스케일, 팝업 상태, 이벤트 누락, 연속 클릭·중복 납부, 저장 후 UI 복원 검증</t>
  </si>
  <si>
    <t>최종 최대 스태미나 계산</t>
  </si>
  <si>
    <t>팀 시스템 통합 테스트</t>
  </si>
  <si>
    <t>PL-STAMINA-01</t>
  </si>
  <si>
    <t>OBJECT - 02, OBJECT - 03, PL-COMBAT-04</t>
  </si>
  <si>
    <t>메인 메뉴에서 게임 시작 시 런 시작을 요청하고 게임 화면으로 전환</t>
  </si>
  <si>
    <t>현재 스테이지 번호를 관리하고 외부 시스템에서 조회할 수 있도록 제공</t>
  </si>
  <si>
    <t>새로운 런 시작 시 진행 상태를 설정하고 각 시스템에 초기화 시점 전달</t>
  </si>
  <si>
    <t>성장값이 변경되었을 때 이벤트를 발생시켜 관련 시스템이 변경을 감지</t>
  </si>
  <si>
    <t>기본 행운과 성장값을 합산해 다른 시스템에서 사용할 수 있도록 제공</t>
  </si>
  <si>
    <t>스테이지 시작시 현재 스태미나를 설정, 초기값과 최대값의 관계를 확정</t>
  </si>
  <si>
    <t>최대 스태미나가 변경되면 현재 스태미나를 새로운 최대값 이하로 조정</t>
  </si>
  <si>
    <t>계산된 방향을 사용해 플레이어를 움직임. 충돌과 이동속도를 함께 확인</t>
  </si>
  <si>
    <t xml:space="preserve"> 현재 스태미나와 최대 스태미나가 변경되면 두 값을 이벤트로 전달</t>
  </si>
  <si>
    <t>외부 호출로 스태미나를 회복, 최대 스태미나를 초과하지 않도록 처리</t>
  </si>
  <si>
    <t xml:space="preserve"> 공격 동작이 종료된 뒤 최종 공격 만큼 대기하고 다음 공격을 시작</t>
  </si>
  <si>
    <t>실제 타격 시점에 공격 사운드를 재생하도록 사운드 담당 시스템과 연결</t>
  </si>
  <si>
    <t>플레이어 시스템에서 스태미나 관련 클리어 조건 충족 결과를 전달받음</t>
  </si>
  <si>
    <t>탐색한 콜라이더에서 공격 대상 인터페이스를 구현한 컴포넌트를 찾기</t>
  </si>
  <si>
    <t>스태미나가 0에 도달하면 고갈 상태로 전환하고 이벤트를 한번만 발생</t>
  </si>
  <si>
    <t xml:space="preserve"> 해금된 스킬의 효과 수치를 해당 성장값에 적용, 기존 기본 능력치는 유지하고 성장 적용값을 갱신하는 방식으로 구성</t>
  </si>
  <si>
    <t>레벨</t>
  </si>
  <si>
    <t>사운드</t>
  </si>
  <si>
    <t>난이도</t>
  </si>
  <si>
    <t>효과</t>
  </si>
  <si>
    <t>담당자</t>
  </si>
  <si>
    <t>공수</t>
  </si>
  <si>
    <t>팀원수</t>
  </si>
  <si>
    <t>보상</t>
  </si>
  <si>
    <t>김선태</t>
  </si>
  <si>
    <t>서요셉</t>
  </si>
  <si>
    <t>김지훈</t>
  </si>
  <si>
    <t>해금</t>
  </si>
  <si>
    <t>UI</t>
  </si>
  <si>
    <t>김민재</t>
  </si>
  <si>
    <t>SO</t>
  </si>
  <si>
    <t>능력치</t>
  </si>
  <si>
    <t>공통</t>
  </si>
  <si>
    <t>하</t>
  </si>
  <si>
    <t>중</t>
  </si>
  <si>
    <t xml:space="preserve"> 전투</t>
  </si>
  <si>
    <t>상</t>
  </si>
  <si>
    <t>전투</t>
  </si>
  <si>
    <t>테스트</t>
  </si>
  <si>
    <t>기능명</t>
  </si>
  <si>
    <t>이벤트</t>
  </si>
  <si>
    <t>-</t>
  </si>
  <si>
    <t>잔고·스킬 이벤트 구독, 구매 이후 갱신, 재진입 시 표시 복구, 중복 입력 차단</t>
  </si>
  <si>
    <t>공격력, 공격 간격, 공격 범위, 치명타 확률, 행운, 최대 스태미나의 초기값을 설정</t>
  </si>
  <si>
    <t>기한 유형(초/턴)에 따른 남은 시간 표시, 경고 강조, 일시정지·만기 처리 UI</t>
  </si>
  <si>
    <t>RUN-02-02, FIN-02-01, STAGE-02-02, TEST-01-01</t>
  </si>
  <si>
    <t>외부 호출로 지정된 양의 스태미나를 소모, 현재 잔량보다 많이 소모하지 않도록 처리</t>
  </si>
  <si>
    <t>플레이어 시스템에서 전달한 현재·최대 스태미나 등의 변경 이벤트를 받아 UI 갱신</t>
  </si>
  <si>
    <t>재화 및 청구서 시스템의 이벤트를 받아 보유 금액, 청구 금액, 납부 상태 표시</t>
  </si>
  <si>
    <t>활성 청구서 목록, 항목별 청구 금액·발행일·만기·상태, 정렬과 상세 선택 UI</t>
  </si>
  <si>
    <t>스킬 노드 배치, 연결선, 잠금/해금/강화 가능 상태, 아이콘, 선택 정보 패널을 Unity Canvas에 구현</t>
  </si>
  <si>
    <t>하나의 해금 결과가 여러번 전달되거나 이벤트가 중복 호출되어도 해금 연출이 의도치 않게 반복되지 않도록 한다.</t>
  </si>
  <si>
    <t>COMMON-03</t>
  </si>
  <si>
    <t>게임 흐름 총괄</t>
  </si>
  <si>
    <t>COMMON-01</t>
  </si>
  <si>
    <t>COMMON-02</t>
  </si>
  <si>
    <t>성장값 별도 저장</t>
  </si>
  <si>
    <t>PL-STAT-01</t>
  </si>
  <si>
    <t>PL-STAT-02</t>
  </si>
  <si>
    <t>PL-STAT-03</t>
  </si>
  <si>
    <t>PL-STAT-04</t>
  </si>
  <si>
    <t>치명타 확률 계산</t>
  </si>
  <si>
    <t>기본 능력치 초기화</t>
  </si>
  <si>
    <t>최종 공격 간격 계산</t>
  </si>
  <si>
    <t>PL-STAT-05</t>
  </si>
  <si>
    <t>최종 공격력 계산</t>
  </si>
  <si>
    <t>최종 공격 범위 계산</t>
  </si>
  <si>
    <t>PL-STAT-06</t>
  </si>
  <si>
    <t>이동 입력 처리</t>
  </si>
  <si>
    <t>PL-MOVE-03</t>
  </si>
  <si>
    <t>이동 방향 계산</t>
  </si>
  <si>
    <t>PL-STAT-07</t>
  </si>
  <si>
    <t>PL-STAT-08</t>
  </si>
  <si>
    <t>최종 행운 계산</t>
  </si>
  <si>
    <t>PL-MOVE-01</t>
  </si>
  <si>
    <t>PL-MOVE-02</t>
  </si>
  <si>
    <t>PL-STAT-09</t>
  </si>
  <si>
    <t>플레이어 이동 처리</t>
  </si>
  <si>
    <t>능력치 변경 이벤트</t>
  </si>
  <si>
    <t>이동 가능 상태 제어</t>
  </si>
  <si>
    <t>플레이어 방향 전환</t>
  </si>
  <si>
    <t>스태미나 회복 처리</t>
  </si>
  <si>
    <t>PL-MOVE-05</t>
  </si>
  <si>
    <t>PL-MOVE-04</t>
  </si>
  <si>
    <t>직접 소모 처리</t>
  </si>
  <si>
    <t>스태미나 초기화</t>
  </si>
  <si>
    <t>시간 기반 소모계산</t>
  </si>
  <si>
    <t>TEST-01-01</t>
  </si>
  <si>
    <t>TEST-UI-01</t>
  </si>
  <si>
    <t>파산 판정 단일화</t>
  </si>
  <si>
    <t>ROGUE-02-02</t>
  </si>
  <si>
    <t>TEST-02-01</t>
  </si>
  <si>
    <t>TEST-01-02</t>
  </si>
  <si>
    <t>예상 공수 (H)</t>
  </si>
  <si>
    <t>BILL-02-02</t>
  </si>
  <si>
    <t>BILL-03-03</t>
  </si>
  <si>
    <t>청구서 납부 실행</t>
  </si>
  <si>
    <t>BILL-02-03</t>
  </si>
  <si>
    <t>BILL-03-05</t>
  </si>
  <si>
    <t>BILL-03-02</t>
  </si>
  <si>
    <t>BILL-03-04</t>
  </si>
  <si>
    <t>BILL-03-01</t>
  </si>
  <si>
    <t>GROW-01-01</t>
  </si>
  <si>
    <t>GROW-01-05</t>
  </si>
  <si>
    <t>스킬 성장 효과 반영</t>
  </si>
  <si>
    <t>GROW-01-02</t>
  </si>
  <si>
    <t>GROW-02-01</t>
  </si>
  <si>
    <t>스킬 해금 조건 판정</t>
  </si>
  <si>
    <t>GROW-01-03</t>
  </si>
  <si>
    <t>GROW-01-04</t>
  </si>
  <si>
    <t>스킬 강화 비용 결제</t>
  </si>
  <si>
    <t>GROW-02-02</t>
  </si>
  <si>
    <t>영구 재화 지급 연동</t>
  </si>
  <si>
    <t>ROGUE-01-01</t>
  </si>
  <si>
    <t>ROGUE-01-02</t>
  </si>
  <si>
    <t>런 종료 정산 실행</t>
  </si>
  <si>
    <t>ROGUE-01-03</t>
  </si>
  <si>
    <t>ROGUE-02-01</t>
  </si>
  <si>
    <t>GROW-02-03</t>
  </si>
  <si>
    <t>로그라이트 관리</t>
  </si>
  <si>
    <t>입력값을 실제 이동 방향을 변환, 카메라 기준 이동 여부를 확정</t>
  </si>
  <si>
    <t>전달받은 스킬이 여러 능력치에 어떤 능력치에 영향을 주는지 구분</t>
  </si>
  <si>
    <t>구형 범위와 대상 레이어를 이용해 공격 대상 콜라이더를 탐색</t>
  </si>
  <si>
    <t>레거시 포인트 및 저장 대상 데이터를 관리할 자료 구조 정의</t>
  </si>
  <si>
    <t>공격 가능 여부를 확인하고 자동 공격을 시작할 조건을 판단</t>
  </si>
  <si>
    <t>플레이어 위치와 방향을 기준으로 공격 범위의 증심점을 계산</t>
  </si>
  <si>
    <t>RUN-02-01, RUN-01-02, FLOW-02-02</t>
  </si>
  <si>
    <t xml:space="preserve"> 스태미나 고갈 시 한숨 등의 사운드를 재생, 중복 발생 방지</t>
  </si>
  <si>
    <t xml:space="preserve">UI-02-01, PL-STAT-09, PL-STAT-06 </t>
  </si>
  <si>
    <t>게임 시작, 이어하기, 설정, 종료 버튼과 메인 메뉴 화면 구성</t>
  </si>
  <si>
    <t>실제 애니메이션의 타격 시점에 공격 판정이 실행되도록 연결</t>
  </si>
  <si>
    <t>STAGE-01-01, FLOW-02-01, OBJECT-02</t>
  </si>
  <si>
    <t>재화 시스템에서 파산 등 게임 오버 조건 달성 결과를 전달받음</t>
  </si>
  <si>
    <t>스테이지 시작 및 전환 이벤트에 따라 현재 스테이지 정보 갱신</t>
  </si>
  <si>
    <t>스테이지 클리어 시 결과 정보와 다음 스테이지 진행 화면 표시</t>
  </si>
  <si>
    <t>다음 스테이지 또는 재시작 버튼을 게임 진행 시스템과 연결</t>
  </si>
  <si>
    <t>PL-STAMINA-02</t>
  </si>
  <si>
    <t>팀 통합 시나리오 검증</t>
  </si>
  <si>
    <t>성장·정산 경계값 테스트</t>
  </si>
  <si>
    <t>청구서·성장 UI 기능</t>
  </si>
  <si>
    <t xml:space="preserve"> 고갈 상태 게임진행 연동</t>
  </si>
  <si>
    <t>PL-COMBAT-01</t>
  </si>
  <si>
    <t xml:space="preserve"> 공격 진행 상태 관리</t>
  </si>
  <si>
    <t>공격 종료 후 대기 처리</t>
  </si>
  <si>
    <t>PL-COMBAT-03</t>
  </si>
  <si>
    <t>PL-COMBAT-05</t>
  </si>
  <si>
    <t>PL-STAMINA-08</t>
  </si>
  <si>
    <t>PL-COMBAT-06</t>
  </si>
  <si>
    <t>치명타 판정 및 피해 계산</t>
  </si>
  <si>
    <t>스킬 해금 데이터 수신</t>
  </si>
  <si>
    <t>PL-COMBAT-02</t>
  </si>
  <si>
    <t>변경된 능력치 시스템 반영</t>
  </si>
  <si>
    <t xml:space="preserve"> UNLOCK - 01</t>
  </si>
  <si>
    <t>코인, 데미지 표시 UI</t>
  </si>
  <si>
    <t>스킬 효과 발동 사운드</t>
  </si>
  <si>
    <t>스킬 연출 통합 테스트</t>
  </si>
  <si>
    <t>PL-STAMINA-09</t>
  </si>
  <si>
    <t>스킬 효과 중복 적용 방지</t>
  </si>
  <si>
    <t>돼지 저금통 파괴 효과</t>
  </si>
  <si>
    <t>PL-STAMINA-04</t>
  </si>
  <si>
    <t>코인, 저금통 파괴 사운드</t>
  </si>
  <si>
    <t>PL-COMBAT-04</t>
  </si>
  <si>
    <t>돼지 저금통 피격 연출</t>
  </si>
  <si>
    <t>PL-STAMINA-06</t>
  </si>
  <si>
    <t xml:space="preserve"> 스태미나 변경 이벤트</t>
  </si>
  <si>
    <t>스킬 효과 발동 이펙트</t>
  </si>
  <si>
    <t>저금통 움직임 애니메이션</t>
  </si>
  <si>
    <t>돼지 저금통 파괴 효과 표시</t>
  </si>
  <si>
    <t>PL-STAMINA-03</t>
  </si>
  <si>
    <t>최대 스태미나 변경 반영</t>
  </si>
  <si>
    <t>PL-STAMINA-05</t>
  </si>
  <si>
    <t>PL-STAMINA-07</t>
  </si>
  <si>
    <t>스킬 트리 데이터·노드 구조</t>
  </si>
  <si>
    <t>만기 임박 알림·카운트다운</t>
  </si>
  <si>
    <t>스킬 데이터 저장·복원 계약</t>
  </si>
  <si>
    <t>스킬에 피격 당했을때 디버프</t>
  </si>
  <si>
    <t>현재 스테이지 정보 관리</t>
  </si>
  <si>
    <t>스테이지 정보 UI 갱신</t>
  </si>
  <si>
    <t>게임 이벤트와 효과음 연계</t>
  </si>
  <si>
    <t>BGM 및 SFX 볼륨 조절</t>
  </si>
  <si>
    <t>잔고 변경 이벤트·조회</t>
  </si>
  <si>
    <t>보유 골드 및 레거시 포인트</t>
  </si>
  <si>
    <t>플레이어 상태 UI 갱신</t>
  </si>
  <si>
    <t>재화 증감 시 UI 갱신</t>
  </si>
  <si>
    <t>게임 상태 변경 이벤트</t>
  </si>
  <si>
    <t>청구서 규칙 데이터 정의</t>
  </si>
  <si>
    <t>스테이지 시작 및 초기화</t>
  </si>
  <si>
    <t>청구서 HUD 요약 표시</t>
  </si>
  <si>
    <t>PIG-SKILL-VFX</t>
  </si>
  <si>
    <t>UI 효과음 사전 등록</t>
  </si>
  <si>
    <t>청구서 발행 조건 감시</t>
  </si>
  <si>
    <t>재화 및 청구서 UI 갱신</t>
  </si>
  <si>
    <t>재화 획득 및 소비 피드백</t>
  </si>
  <si>
    <t>일시정지 메뉴 버튼 기능</t>
  </si>
  <si>
    <t>저장 데이터 구조 정의</t>
  </si>
  <si>
    <t>청구서 발행 및 중복 방지</t>
  </si>
  <si>
    <t>납부 실패 및 만기 이벤트</t>
  </si>
  <si>
    <t>청구서 목록·상세 패널</t>
  </si>
  <si>
    <t>다음 스테이지 정보 갱신</t>
  </si>
  <si>
    <t>재화 데이터 및 초기 잔고</t>
  </si>
  <si>
    <t>청구서 납부 UI 및 피드백</t>
  </si>
  <si>
    <t>파산 청구서 상태 표시</t>
  </si>
  <si>
    <t>스테이지 클리어 조건 연계</t>
  </si>
  <si>
    <t>재화 증감 공통 API</t>
  </si>
  <si>
    <t>스킬 트리 화면·노드 렌더링</t>
  </si>
  <si>
    <t>재화·청구서 경계값 테스트</t>
  </si>
  <si>
    <t>스킬 상세·강화 조작 UI</t>
  </si>
  <si>
    <t>런 정산 규칙 및 레거시</t>
  </si>
  <si>
    <t>파산 결과·런 종료 연동</t>
  </si>
  <si>
    <t>보유 재화 관리</t>
  </si>
  <si>
    <t>스테이지 보상 지급</t>
  </si>
  <si>
    <t>FIN-02-01</t>
  </si>
  <si>
    <t>FIN-01-01</t>
  </si>
  <si>
    <t>FIN-01-02</t>
  </si>
  <si>
    <t>AUDIO-03-02</t>
  </si>
  <si>
    <t>FIN-01-03</t>
  </si>
  <si>
    <t>AUDIO-02-03</t>
  </si>
  <si>
    <t>사운드 설정값 유지</t>
  </si>
  <si>
    <t>AUDIO-03-01</t>
  </si>
  <si>
    <t>FIN-05-02</t>
  </si>
  <si>
    <t>FIN-02-02</t>
  </si>
  <si>
    <t>재화 데이터 관리</t>
  </si>
  <si>
    <t>FIN-04-01</t>
  </si>
  <si>
    <t>스킬·기타 보상 지급</t>
  </si>
  <si>
    <t>재화 지출 거래 처리</t>
  </si>
  <si>
    <t>FIN-05-01</t>
  </si>
  <si>
    <t>FIN-03-02</t>
  </si>
  <si>
    <t>아이템 구매 연동</t>
  </si>
  <si>
    <t>재화 상태 저장 계약</t>
  </si>
  <si>
    <t>FIN-03-01</t>
  </si>
  <si>
    <t>BILL-01-04</t>
  </si>
  <si>
    <t>FIN-05-03</t>
  </si>
  <si>
    <t>청구 알림 이벤트</t>
  </si>
  <si>
    <t>BILL-01-02</t>
  </si>
  <si>
    <t>청구서 대기열 관리</t>
  </si>
  <si>
    <t>BILL-02-01</t>
  </si>
  <si>
    <t>BILL-01-05</t>
  </si>
  <si>
    <t>청구서 기한 판정</t>
  </si>
  <si>
    <t>BILL-01-01</t>
  </si>
  <si>
    <t>BILL-01-03</t>
  </si>
  <si>
    <t>STAGE-03-01</t>
  </si>
  <si>
    <t>스테이지 클리어 처리</t>
  </si>
  <si>
    <t>STAGE-01-02</t>
  </si>
  <si>
    <t>다음 스테이지 시작</t>
  </si>
  <si>
    <t>RUN-01-01</t>
  </si>
  <si>
    <t>STAGE-03-02</t>
  </si>
  <si>
    <t>STAGE-02-02</t>
  </si>
  <si>
    <t>런 시작 및 초기화</t>
  </si>
  <si>
    <t>STAGE-02-01</t>
  </si>
  <si>
    <t>RUN-01-02</t>
  </si>
  <si>
    <t>인게임 HUD 구성</t>
  </si>
  <si>
    <t>메인 메뉴 버튼 기능</t>
  </si>
  <si>
    <t>UI-01-01</t>
  </si>
  <si>
    <t>UI-02-01</t>
  </si>
  <si>
    <t>RUN-02-02</t>
  </si>
  <si>
    <t>RUN-02-01</t>
  </si>
  <si>
    <t>게임 오버 처리</t>
  </si>
  <si>
    <t>UI-01-02</t>
  </si>
  <si>
    <t>게임 오버 조건 연계</t>
  </si>
  <si>
    <t>메인 메뉴 화면 구성</t>
  </si>
  <si>
    <t>UI-02-02</t>
  </si>
  <si>
    <t>스테이지 클리어 화면</t>
  </si>
  <si>
    <t>UI-03-02</t>
  </si>
  <si>
    <t>결과 화면 버튼 기능</t>
  </si>
  <si>
    <t>UI-02-04</t>
  </si>
  <si>
    <t>UI-02-03</t>
  </si>
  <si>
    <t>UI-03-01</t>
  </si>
  <si>
    <t>게임 오버 화면</t>
  </si>
  <si>
    <t>UI-03-03</t>
  </si>
  <si>
    <t>SAVE-01-02</t>
  </si>
  <si>
    <t>게임 데이터 저장</t>
  </si>
  <si>
    <t>SAVE-01-03</t>
  </si>
  <si>
    <t>UI-04-02</t>
  </si>
  <si>
    <t>저장 데이터 불러오기</t>
  </si>
  <si>
    <t>SAVE-02-01</t>
  </si>
  <si>
    <t>SAVE-02-02</t>
  </si>
  <si>
    <t>게임 데이터 수집</t>
  </si>
  <si>
    <t>UI-04-01</t>
  </si>
  <si>
    <t>SAVE-01-01</t>
  </si>
  <si>
    <t>효과음 재생 기능</t>
  </si>
  <si>
    <t>AUDIO-01-02</t>
  </si>
  <si>
    <t>불러온 데이터 적용</t>
  </si>
  <si>
    <t>AUDIO-01-01</t>
  </si>
  <si>
    <t>BGM 재생 및 정지</t>
  </si>
  <si>
    <t>AUDIO-02-02</t>
  </si>
  <si>
    <t>AUDIO-01-03</t>
  </si>
  <si>
    <t>BGM 사전 매핑</t>
  </si>
  <si>
    <t>AUDIO-02-01</t>
  </si>
  <si>
    <t>효과음 사전 매핑</t>
  </si>
  <si>
    <t>시간/턴/누적 수입/스테이지 진행 이벤트로 발행 조건 평가</t>
  </si>
  <si>
    <t>SAVE-01-01, FIN-04-01, GROW-01-05</t>
  </si>
  <si>
    <t>스킬 ID, 레벨, 선행 노드, 비용, 성장 수치 및 상태 정의</t>
  </si>
  <si>
    <t>구매 조건 검증, 결제 성공 시 외부 아이템 시스템에 결과 전달</t>
  </si>
  <si>
    <t>수집된 게임 데이터를 파일 등에 저장하고 저장 완료 결과 전달</t>
  </si>
  <si>
    <t>SAVE-02-01, FIN-04-01, GROW-01-05</t>
  </si>
  <si>
    <t>현재 골드·레거시 포인트 저장 DTO 및 로드 적용 인터페이스</t>
  </si>
  <si>
    <t>RUN 종료 이벤트 수신, 한 번만 정산, 결과 데이터 생성</t>
  </si>
  <si>
    <t>AUDIO-02-02, PL-ANIM-02, PIG-SOUND</t>
  </si>
  <si>
    <t>FIN-01-01, FIN-01-03, SAVE-01-01</t>
  </si>
  <si>
    <t>GROW-02-01, GROW-01-02, FIN-01-03</t>
  </si>
  <si>
    <t>GROW-01-04, ROGUE-01-03, SAVE-02-02</t>
  </si>
  <si>
    <t>BILL-03-03, BILL-03-05, GROW-02-03</t>
  </si>
  <si>
    <t>스킬 강화 요청, 재화 부족 판정, 비용 차감 및 레벨 증가</t>
  </si>
  <si>
    <t>게임에서 사용할 BGM 종류와 AudioClip을 사전에 연결</t>
  </si>
  <si>
    <t>STAGE→보상→청구→납부/파산→RUN 종료→저장→재시작 검증</t>
  </si>
  <si>
    <t>UI/저장 시스템에서 재화 잔고를 조회하고 변경 알림 구독</t>
  </si>
  <si>
    <t>청구 ID로 납부 요청, 잔고 부족 검증, 성공 시 결제·상태 변경</t>
  </si>
  <si>
    <t>각 시스템에서 저장이 필요한 데이터를 전달받아 저장용 데이터로 구성</t>
  </si>
  <si>
    <t>런 종료 사유·획득 성과로 정산 및 레거시 포인트 환산 규칙 정의</t>
  </si>
  <si>
    <t>불러온 데이터를 담당 시스템에 전달해 게임 진행 정보와 성장값 복원</t>
  </si>
  <si>
    <t>스태미나, 재화, 청구서, 스테이지 등 주요 정보를 표시할 UI 구성</t>
  </si>
  <si>
    <t>잔고 이벤트를 HUD 텍스트·아이콘에 연결하고 초기 표시 및 변경 처리</t>
  </si>
  <si>
    <t>게임 오버 발생 시 런 종료, 게임 상태 변경 및 결과 화면 전환 요청</t>
  </si>
  <si>
    <t>청구 ID, 발행액, 기한, 상태 생성; 동일 조건 중복 발행 억제</t>
  </si>
  <si>
    <t>스테이지에서 AI로 움직이는 저금통의 걷는 애니메이션</t>
  </si>
  <si>
    <t>메인 메뉴 또는 게임 내 종료 요청 시 게임 종료 처리</t>
  </si>
  <si>
    <t>게임 상태 변경 시 다른 시스템에 변경된 상태 전달</t>
  </si>
  <si>
    <t>런 종료 시 진행 중 상태를 해제하고 종료 이벤트 전달</t>
  </si>
  <si>
    <t>UI-02-01, FIN-01-03, BILL-01-05</t>
  </si>
  <si>
    <t>버튼 입력에 따른 게임 시작 및 화면 전환 기능 연결</t>
  </si>
  <si>
    <t>게임 오버 시 결과 정보 및 재시작 관련 UI 표시</t>
  </si>
  <si>
    <t>게임 상태 및 스테이지 변경 이벤트에 따라 BGM 전환</t>
  </si>
  <si>
    <t>외부 시스템에서 사운드 종류를 전달받아 해당 효과음 재생</t>
  </si>
  <si>
    <t>직접 참조 또는 이벤트 구독을 통해 상황별 효과음 재생</t>
  </si>
  <si>
    <t>지정한 BGM의 재생, 정지, 일시정지 및 재개 기능</t>
  </si>
  <si>
    <t>골드·레거시 포인트의 데이터 모델, 초기 잔고 정의</t>
  </si>
  <si>
    <t>변경한 사운드 볼륨 설정을 저장하고 재실행 시 복원</t>
  </si>
  <si>
    <t>BGM과 효과음의 볼륨을 각각 조절할 수 있도록 처리</t>
  </si>
  <si>
    <t>스킬 효과 등 추가 수입 원인을 정의하고 중복 지급 방지</t>
  </si>
  <si>
    <t>재화 증감 플로팅 메시지, 부족 알림, 중복 피드백 방지</t>
  </si>
  <si>
    <t>미납 청구서 목록, 만기순 정렬, 납부 상태 조회 API</t>
  </si>
  <si>
    <t>타이머/턴 기반 만기 판정 및 일시정지·중복 만료 방지</t>
  </si>
  <si>
    <t>선택 스킬, 레벨 및 해금 이력 저장·불러오기 연계</t>
  </si>
  <si>
    <t>획득·차감·부족 여부를 검증하고 잔고 변경 이벤트 발생</t>
  </si>
  <si>
    <t>구매·강화·청구서 납부를 공통 검증 후 원자적으로 차감</t>
  </si>
  <si>
    <t>선행 조건, 최대 레벨, 강화 취소, 중복 정산 테스트</t>
  </si>
  <si>
    <t>골드 획득·소비 즉시 갱신하고 화면 전환에도 표시 동기화</t>
  </si>
  <si>
    <t>잔액 부족/0원/동시 호출/만기 경계/중복 요청 테스트</t>
  </si>
  <si>
    <t>신규 발행·납부 완료·마감 임박 이벤트를 UI에 전달</t>
  </si>
  <si>
    <t>스킬 레벨에 따른 플레이어 성장값 계산·반영 이벤트</t>
  </si>
  <si>
    <t>납부 실패·기한 만료를 받아 파산 확정 조건 일원화</t>
  </si>
  <si>
    <t>게임시작, 일시정지, 게임오버, 승리</t>
  </si>
  <si>
    <t xml:space="preserve">(능력치를 올려주는)특수 코인 생성 관리 </t>
  </si>
  <si>
    <t>마우스 입력을 읽어 이동 방향을 계산</t>
  </si>
  <si>
    <t>새로운 저금통 해금 UI 시스템 연결</t>
  </si>
  <si>
    <t>코인과 데미지 표시 UI 시스템 연결</t>
  </si>
  <si>
    <t>코인 소리와 저금통 파괴 사운드 연결</t>
  </si>
  <si>
    <t>PL-SKILL-03, PL-STAT-09</t>
  </si>
  <si>
    <t>저금통 파괴 레벨에 따른 보상 시스템</t>
  </si>
  <si>
    <t>OBJECT - 02, PIG-VFX-01</t>
  </si>
  <si>
    <t>STAGE-02-01, FLOW-02-02</t>
  </si>
  <si>
    <t>ROGUE-02-01, RUN-01-01</t>
  </si>
  <si>
    <t>UI-01-01, FLOW-01-01</t>
  </si>
  <si>
    <t>UI-02-01, STAGE-01-01</t>
  </si>
  <si>
    <t>PL-STAT-03 ~ PL-STAT-08</t>
  </si>
  <si>
    <t>PL-STAT-03, PL-HIT-03</t>
  </si>
  <si>
    <t>PL-HIT-01, PL-STAT-05</t>
  </si>
  <si>
    <t>FLOW-02-01, RUN-01-01</t>
  </si>
  <si>
    <t>STAGE-01-02, PL-STAT-05</t>
  </si>
  <si>
    <t>UI-04-01, FLOW-02-02</t>
  </si>
  <si>
    <t>파괴 레벨에 따른 코인 보상 상승 관리</t>
  </si>
  <si>
    <t>AUDIO-01-02, FLOW-02-02</t>
  </si>
  <si>
    <t xml:space="preserve">게임 플레이중 새로운 저금통과 업적 해금 </t>
  </si>
  <si>
    <t>저금통이 빨개지고, 쪼개지는 효과 연출</t>
  </si>
  <si>
    <t>PL-STAT-01, PL-STAT-02</t>
  </si>
  <si>
    <t>PL-ANIM-01, PL-HIT-02</t>
  </si>
  <si>
    <t>BILL-02-01, BILL-03-01</t>
  </si>
  <si>
    <t>ROGUE-01-01, RUN-01-02</t>
  </si>
  <si>
    <t>BILL-01-04, FIN-03-01</t>
  </si>
  <si>
    <t>BILL-01-01, STAGE-01-01</t>
  </si>
  <si>
    <t>BILL-02-01, BILL-02-02</t>
  </si>
  <si>
    <t>GROW-01-03, PL-STAT-02</t>
  </si>
  <si>
    <t>ROGUE-02-02, BILL-02-03</t>
  </si>
  <si>
    <t>GROW-02-02, GROW-01-03</t>
  </si>
  <si>
    <t>FIN-01-02, STAGE-02-02</t>
  </si>
  <si>
    <t>정산 레거시 포인트 지급 및 누적 반영</t>
  </si>
  <si>
    <t>BILL-02-02, BILL-03-02</t>
  </si>
  <si>
    <t>GROW-01-02, FIN-03-01</t>
  </si>
  <si>
    <t>RUN-01-01, FIN-01-01</t>
  </si>
  <si>
    <t>GROW-01-01, SAVE-01-01</t>
  </si>
  <si>
    <t>FIN-05-02, FIN-03-01</t>
  </si>
  <si>
    <t>2026-10-14 ~ 2026-11-27</t>
  </si>
  <si>
    <t>BILL-01-05, UI-02-01</t>
  </si>
  <si>
    <t>ROGUE-01-02, FIN-01-02</t>
  </si>
  <si>
    <t>BILL-02-03, FIN-03-01</t>
  </si>
  <si>
    <t>선행 스킬·최대 레벨·해금 조건 검증</t>
  </si>
  <si>
    <t>FIN-01-02, AMENDS-01</t>
  </si>
  <si>
    <t>BILL-01-04, BILL-03-01</t>
  </si>
  <si>
    <t>BILL-01-03, FLOW-02-01</t>
  </si>
  <si>
    <t>선행 ID</t>
  </si>
  <si>
    <t>통합 테스트</t>
  </si>
  <si>
    <t>플레이어 조작</t>
  </si>
  <si>
    <t>애니메이션</t>
  </si>
  <si>
    <t>공격력 전달</t>
  </si>
  <si>
    <t>사운드 연동</t>
  </si>
  <si>
    <t xml:space="preserve"> 능력치 반영</t>
  </si>
  <si>
    <t>오브젝트</t>
  </si>
  <si>
    <t>특수코인</t>
  </si>
  <si>
    <t>기능 ID</t>
  </si>
  <si>
    <t>전투 판정</t>
  </si>
  <si>
    <t>성장 연동</t>
  </si>
  <si>
    <t>연출 관리</t>
  </si>
  <si>
    <t>카테고리</t>
  </si>
  <si>
    <t xml:space="preserve"> 전투 연동</t>
  </si>
  <si>
    <t>게임 연동</t>
  </si>
  <si>
    <t>오브젝트 풀링</t>
  </si>
  <si>
    <t>스태미나</t>
  </si>
  <si>
    <t xml:space="preserve"> 전투 판정</t>
  </si>
  <si>
    <t>전투 이펙트</t>
  </si>
  <si>
    <t xml:space="preserve"> 게임 연동</t>
  </si>
  <si>
    <t>상세설명</t>
  </si>
  <si>
    <t>런 관리</t>
  </si>
  <si>
    <t>런 종료 처리</t>
  </si>
  <si>
    <t>게임 진행</t>
  </si>
  <si>
    <t>성장 UI</t>
  </si>
  <si>
    <t>PIG-AI</t>
  </si>
  <si>
    <t>SOUND</t>
  </si>
  <si>
    <t>성장 관리</t>
  </si>
  <si>
    <t>고지서 발행</t>
  </si>
  <si>
    <t>프로젝트 기간</t>
  </si>
  <si>
    <t>고지서 UI</t>
  </si>
  <si>
    <t>재화 UI</t>
  </si>
  <si>
    <t>일시정지 화면</t>
  </si>
  <si>
    <t>행동제어</t>
  </si>
  <si>
    <t>저금통 움직임</t>
  </si>
  <si>
    <t>저장/불러오기</t>
  </si>
  <si>
    <t>스테이지 관리</t>
  </si>
  <si>
    <t>수입 관리</t>
  </si>
  <si>
    <t>고지서 패널티</t>
  </si>
  <si>
    <t>지출 및 구매</t>
  </si>
  <si>
    <t>PIG-UI</t>
  </si>
  <si>
    <t>PL-SKILL-01</t>
  </si>
  <si>
    <t>PL-SFX-04</t>
  </si>
  <si>
    <t>PL-SKILL-03</t>
  </si>
  <si>
    <t xml:space="preserve"> 능력 수치 반영</t>
  </si>
  <si>
    <t>스킬 효과 수치 적용</t>
  </si>
  <si>
    <t>PL-SKILL-04</t>
  </si>
  <si>
    <t>PL-SKILL-02</t>
  </si>
  <si>
    <t>PL-VFX-02</t>
  </si>
  <si>
    <t>스킬 효과 종류 구분</t>
  </si>
  <si>
    <t>고갈 사운드 연출</t>
  </si>
  <si>
    <t>PL-SKILL-05</t>
  </si>
  <si>
    <t>PL-VFX-03</t>
  </si>
  <si>
    <t xml:space="preserve">다양한 저금통 생성 </t>
  </si>
  <si>
    <t>OBJECT - 01</t>
  </si>
  <si>
    <t>PL-VFX-01</t>
  </si>
  <si>
    <t>OBJECT - 02</t>
  </si>
  <si>
    <t>오브젝트 풀링 시스템</t>
  </si>
  <si>
    <t>OBJECT - 03</t>
  </si>
  <si>
    <t>AMENDS - 02</t>
  </si>
  <si>
    <t>랜덤 보상 로직</t>
  </si>
  <si>
    <t>랜덤 보상 생성</t>
  </si>
  <si>
    <t>저금통 보상 생성</t>
  </si>
  <si>
    <t>AMENDS - 03</t>
  </si>
  <si>
    <t>OBJECT - 04</t>
  </si>
  <si>
    <t>AMENDS - 01</t>
  </si>
  <si>
    <t>UNLOCK-UI</t>
  </si>
  <si>
    <t>PIG-ANIM-01</t>
  </si>
  <si>
    <t>PIG-VFX-01</t>
  </si>
  <si>
    <t>PIG-SOUND</t>
  </si>
  <si>
    <t>PIG-VFX-02</t>
  </si>
  <si>
    <t>저금통 움직임 관리</t>
  </si>
  <si>
    <t>STAGE-01-01</t>
  </si>
  <si>
    <t>FLOW-02-01</t>
  </si>
  <si>
    <t>게임 상태 관리</t>
  </si>
  <si>
    <t>FLOW-01-01</t>
  </si>
  <si>
    <t>FLOW-01-02</t>
  </si>
  <si>
    <t>FLOW-02-02</t>
  </si>
  <si>
    <t>게임 종료 처리</t>
  </si>
  <si>
    <t>COIN-AINE</t>
  </si>
  <si>
    <t>코인 애니메이션 연출</t>
  </si>
  <si>
    <t>게임 시작 처리</t>
  </si>
  <si>
    <t>스태미나 고갈 판정</t>
  </si>
  <si>
    <t>PL-STAT-004</t>
  </si>
  <si>
    <t>PL-HIT-01</t>
  </si>
  <si>
    <t xml:space="preserve"> 고갈 후 상태 제한</t>
  </si>
  <si>
    <t>공격 시작 조건 확인</t>
  </si>
  <si>
    <t>공격 가능 상태 제어</t>
  </si>
  <si>
    <t>PL-HIT-03</t>
  </si>
  <si>
    <t>중복 타격 방지</t>
  </si>
  <si>
    <t>공격 판정 위치계산</t>
  </si>
  <si>
    <t>PL-HIT-02</t>
  </si>
  <si>
    <t xml:space="preserve"> 공격 대상 식별</t>
  </si>
  <si>
    <t>공격 범위 대상 탐색</t>
  </si>
  <si>
    <t>PL-HIT-04</t>
  </si>
  <si>
    <t>PL-ANIM-01</t>
  </si>
  <si>
    <t>PL-ANIM-02</t>
  </si>
  <si>
    <t>망치 공격 사운드</t>
  </si>
  <si>
    <t>PL-SFX-02</t>
  </si>
  <si>
    <t>스태미나 임계 연출</t>
  </si>
  <si>
    <t>PL-SFX-03</t>
  </si>
  <si>
    <t>PL-SFX-01</t>
  </si>
  <si>
    <t>애니메이션 연동</t>
  </si>
  <si>
    <t>타격 시점 연결</t>
  </si>
  <si>
    <t>공격 애니메이션</t>
  </si>
  <si>
    <t>저금통이 스킬에 피격 되었을때 디버프 기능 작성</t>
  </si>
  <si>
    <t>기본 능력치와 성장 적용값을 별도 변수로 관리</t>
  </si>
  <si>
    <t>PL-STAT-06, PL-COMBAT-04</t>
  </si>
  <si>
    <t>스테이지 클리어·전투 성과에 따른 골드 보상 지급</t>
  </si>
  <si>
    <t>자동 공격 상태에 망치 공격 애니메이션을 연결</t>
  </si>
  <si>
    <t>AMENDS - 01, OBJECT - 03</t>
  </si>
  <si>
    <t>STAGE-03-01, STAGE-01-02</t>
  </si>
  <si>
    <t>PL-STAT-09, PL-STAMINA-01</t>
  </si>
  <si>
    <t>PL-COMBAT-02, PL-STAT-04</t>
  </si>
  <si>
    <t>PL-SKILL-01, PL-SKILL-03</t>
  </si>
  <si>
    <t>기본 공격력과 성장값을 합산해 최종 공격력을 제공</t>
  </si>
  <si>
    <t>실제 구현 후 게임 시작부터 흐름 진행 및 확인</t>
  </si>
  <si>
    <t>OBJECT - 01, OBJECT - 02</t>
  </si>
  <si>
    <t>클리어 후 다음 스테이지 번호와 진행 정보 갱신</t>
  </si>
  <si>
    <t>다음 스테이지에 필요한 초기화와 시작 처리 진행</t>
  </si>
  <si>
    <t>계속하기, 설정, 메인 메뉴 이동 버튼 기능 연결</t>
  </si>
  <si>
    <t>파산 시 Run 종료 요청 및 사유 이벤트 전달</t>
  </si>
  <si>
    <t>게임 일시정지 시 메뉴 표시 및 진행 화면과 구분</t>
  </si>
  <si>
    <t>OBJECT - 02, AMENDS - 02</t>
  </si>
  <si>
    <t>이동 방향에 맞춰 플레이어가 바라보는 방향을 변경</t>
  </si>
  <si>
    <t>게임 상태에 따란 플레이어 이동을 허용하거나 제한</t>
  </si>
  <si>
    <t>기존 저장 데이터를 읽고 유효한 데이터인지 확인</t>
  </si>
  <si>
    <t>AUDIO-01-02, AUDIO-02-02</t>
  </si>
  <si>
    <t>납부 실패/기한 만료 사실을 결과 이벤트로 전달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</si>
</sst>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rgb="FF000000"/>
      <name val="맑은 고딕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1" applyAlignment="1">
      <alignment horizontal="center" vertical="center"/>
    </xf>
  </cellXfs>
  <cellStyles count="2">
    <cellStyle name="쉼표" xfId="1" builtinId="3"/>
    <cellStyle name="표준" xfId="0" builtinId="0"/>
  </cellStyles>
  <dxfs count="5">
    <dxf>
      <alignment horizontal="center" vertical="center" wrapText="1" justifyLastLine="1" shrinkToFit="1"/>
    </dxf>
    <dxf>
      <alignment horizontal="center" vertical="center" wrapText="1" justifyLastLine="1" shrinkToFit="1"/>
    </dxf>
    <dxf>
      <alignment horizontal="center" vertical="center" wrapText="1" justifyLastLine="1" shrinkToFit="1"/>
    </dxf>
    <dxf>
      <alignment horizontal="center" vertical="center" wrapText="1" justifyLastLine="1" shrinkToFit="1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5:K151" totalsRowShown="0" headerRowDxfId="4">
  <autoFilter ref="B5:K151" xr:uid="{00000000-0009-0000-0100-000001000000}"/>
  <tableColumns count="10">
    <tableColumn id="1" xr3:uid="{00000000-0010-0000-0000-000001000000}" name="기능 ID"/>
    <tableColumn id="2" xr3:uid="{00000000-0010-0000-0000-000002000000}" name="카테고리"/>
    <tableColumn id="3" xr3:uid="{00000000-0010-0000-0000-000003000000}" name="기능명"/>
    <tableColumn id="4" xr3:uid="{00000000-0010-0000-0000-000004000000}" name="선행 ID"/>
    <tableColumn id="5" xr3:uid="{00000000-0010-0000-0000-000005000000}" name="레벨" dataDxfId="3"/>
    <tableColumn id="6" xr3:uid="{00000000-0010-0000-0000-000006000000}" name="난이도" dataDxfId="2"/>
    <tableColumn id="7" xr3:uid="{00000000-0010-0000-0000-000007000000}" name="담당자"/>
    <tableColumn id="8" xr3:uid="{00000000-0010-0000-0000-000008000000}" name="상세설명"/>
    <tableColumn id="9" xr3:uid="{00000000-0010-0000-0000-000009000000}" name="예상 공수 (H)" dataDxfId="1"/>
    <tableColumn id="10" xr3:uid="{00000000-0010-0000-0000-00000A000000}" name="완료예정일 (yyyy-MM-d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152"/>
  <sheetViews>
    <sheetView tabSelected="1" zoomScale="80" zoomScaleNormal="80" zoomScaleSheetLayoutView="75" workbookViewId="0">
      <selection activeCell="D3" sqref="D3"/>
    </sheetView>
  </sheetViews>
  <sheetFormatPr defaultColWidth="9" defaultRowHeight="17.399999999999999" x14ac:dyDescent="0.4"/>
  <cols>
    <col min="1" max="1" width="2.69921875" customWidth="1"/>
    <col min="2" max="2" width="15.09765625" bestFit="1" customWidth="1"/>
    <col min="3" max="3" width="15.69921875" bestFit="1" customWidth="1"/>
    <col min="4" max="4" width="33.296875" bestFit="1" customWidth="1"/>
    <col min="5" max="5" width="44.69921875" bestFit="1" customWidth="1"/>
    <col min="6" max="6" width="9" bestFit="1" customWidth="1"/>
    <col min="7" max="7" width="10.796875" bestFit="1" customWidth="1"/>
    <col min="8" max="8" width="8.796875" bestFit="1" customWidth="1"/>
    <col min="9" max="9" width="67.5" customWidth="1"/>
    <col min="10" max="10" width="16.59765625" bestFit="1" customWidth="1"/>
    <col min="11" max="11" width="26.3984375" bestFit="1" customWidth="1"/>
  </cols>
  <sheetData>
    <row r="2" spans="2:11" x14ac:dyDescent="0.4">
      <c r="B2" s="2" t="s">
        <v>71</v>
      </c>
      <c r="C2" s="3">
        <v>4</v>
      </c>
      <c r="D2" s="2" t="s">
        <v>468</v>
      </c>
      <c r="E2" s="6" t="s">
        <v>430</v>
      </c>
    </row>
    <row r="3" spans="2:11" x14ac:dyDescent="0.4">
      <c r="B3" s="2" t="s">
        <v>70</v>
      </c>
      <c r="C3" s="3" t="str">
        <f>ROUND(SUM(표1[예상 공수 (H)])/8/20/C2,2)&amp;" M/M"</f>
        <v>0.94 M/M</v>
      </c>
    </row>
    <row r="5" spans="2:11" ht="24.6" customHeight="1" x14ac:dyDescent="0.4">
      <c r="B5" s="4" t="s">
        <v>447</v>
      </c>
      <c r="C5" s="4" t="s">
        <v>451</v>
      </c>
      <c r="D5" s="4" t="s">
        <v>88</v>
      </c>
      <c r="E5" s="4" t="s">
        <v>438</v>
      </c>
      <c r="F5" s="5" t="s">
        <v>65</v>
      </c>
      <c r="G5" s="5" t="s">
        <v>67</v>
      </c>
      <c r="H5" s="4" t="s">
        <v>69</v>
      </c>
      <c r="I5" s="4" t="s">
        <v>459</v>
      </c>
      <c r="J5" s="5" t="s">
        <v>142</v>
      </c>
      <c r="K5" s="4" t="s">
        <v>24</v>
      </c>
    </row>
    <row r="6" spans="2:11" x14ac:dyDescent="0.4">
      <c r="B6" t="s">
        <v>103</v>
      </c>
      <c r="C6" t="s">
        <v>102</v>
      </c>
      <c r="D6" t="s">
        <v>81</v>
      </c>
      <c r="F6" s="7">
        <v>8</v>
      </c>
      <c r="G6" s="7" t="s">
        <v>85</v>
      </c>
      <c r="I6" t="s">
        <v>390</v>
      </c>
      <c r="J6" s="7"/>
      <c r="K6" s="7"/>
    </row>
    <row r="7" spans="2:11" x14ac:dyDescent="0.4">
      <c r="B7" t="s">
        <v>104</v>
      </c>
      <c r="C7" t="s">
        <v>439</v>
      </c>
      <c r="D7" t="s">
        <v>46</v>
      </c>
      <c r="F7" s="7">
        <v>8</v>
      </c>
      <c r="G7" s="7" t="s">
        <v>85</v>
      </c>
      <c r="I7" t="s">
        <v>555</v>
      </c>
      <c r="J7" s="7"/>
      <c r="K7" s="7"/>
    </row>
    <row r="8" spans="2:11" x14ac:dyDescent="0.4">
      <c r="B8" t="s">
        <v>101</v>
      </c>
      <c r="C8" t="s">
        <v>439</v>
      </c>
      <c r="D8" t="s">
        <v>30</v>
      </c>
      <c r="F8" s="7">
        <v>8</v>
      </c>
      <c r="G8" s="7" t="s">
        <v>83</v>
      </c>
      <c r="I8" t="s">
        <v>15</v>
      </c>
      <c r="J8" s="7"/>
      <c r="K8" s="7"/>
    </row>
    <row r="9" spans="2:11" x14ac:dyDescent="0.4">
      <c r="B9" t="s">
        <v>106</v>
      </c>
      <c r="C9" t="s">
        <v>80</v>
      </c>
      <c r="D9" t="s">
        <v>111</v>
      </c>
      <c r="E9" t="s">
        <v>90</v>
      </c>
      <c r="F9" s="7">
        <v>1</v>
      </c>
      <c r="G9" s="7" t="s">
        <v>85</v>
      </c>
      <c r="H9" t="s">
        <v>73</v>
      </c>
      <c r="I9" t="s">
        <v>92</v>
      </c>
      <c r="J9" s="7">
        <v>2</v>
      </c>
      <c r="K9" s="7"/>
    </row>
    <row r="10" spans="2:11" x14ac:dyDescent="0.4">
      <c r="B10" t="s">
        <v>107</v>
      </c>
      <c r="C10" t="s">
        <v>80</v>
      </c>
      <c r="D10" t="s">
        <v>105</v>
      </c>
      <c r="E10" t="s">
        <v>106</v>
      </c>
      <c r="F10" s="7">
        <v>1</v>
      </c>
      <c r="G10" s="7" t="s">
        <v>85</v>
      </c>
      <c r="H10" t="s">
        <v>73</v>
      </c>
      <c r="I10" t="s">
        <v>545</v>
      </c>
      <c r="J10" s="7">
        <v>2</v>
      </c>
      <c r="K10" s="7"/>
    </row>
    <row r="11" spans="2:11" x14ac:dyDescent="0.4">
      <c r="B11" t="s">
        <v>108</v>
      </c>
      <c r="C11" t="s">
        <v>80</v>
      </c>
      <c r="D11" t="s">
        <v>114</v>
      </c>
      <c r="E11" t="s">
        <v>413</v>
      </c>
      <c r="F11" s="7">
        <v>2</v>
      </c>
      <c r="G11" s="7" t="s">
        <v>85</v>
      </c>
      <c r="H11" t="s">
        <v>73</v>
      </c>
      <c r="I11" t="s">
        <v>554</v>
      </c>
      <c r="J11" s="7">
        <v>1</v>
      </c>
      <c r="K11" s="7"/>
    </row>
    <row r="12" spans="2:11" x14ac:dyDescent="0.4">
      <c r="B12" t="s">
        <v>109</v>
      </c>
      <c r="C12" t="s">
        <v>80</v>
      </c>
      <c r="D12" t="s">
        <v>112</v>
      </c>
      <c r="E12" t="s">
        <v>413</v>
      </c>
      <c r="F12" s="7">
        <v>2</v>
      </c>
      <c r="G12" s="7" t="s">
        <v>85</v>
      </c>
      <c r="H12" t="s">
        <v>73</v>
      </c>
      <c r="I12" t="s">
        <v>4</v>
      </c>
      <c r="J12" s="7">
        <v>1</v>
      </c>
      <c r="K12" s="7"/>
    </row>
    <row r="13" spans="2:11" x14ac:dyDescent="0.4">
      <c r="B13" t="s">
        <v>113</v>
      </c>
      <c r="C13" t="s">
        <v>80</v>
      </c>
      <c r="D13" t="s">
        <v>115</v>
      </c>
      <c r="E13" t="s">
        <v>413</v>
      </c>
      <c r="F13" s="7">
        <v>2</v>
      </c>
      <c r="G13" s="7" t="s">
        <v>85</v>
      </c>
      <c r="H13" t="s">
        <v>73</v>
      </c>
      <c r="I13" t="s">
        <v>18</v>
      </c>
      <c r="J13" s="7">
        <v>1</v>
      </c>
      <c r="K13" s="7"/>
    </row>
    <row r="14" spans="2:11" x14ac:dyDescent="0.4">
      <c r="B14" t="s">
        <v>116</v>
      </c>
      <c r="C14" t="s">
        <v>80</v>
      </c>
      <c r="D14" t="s">
        <v>110</v>
      </c>
      <c r="E14" t="s">
        <v>413</v>
      </c>
      <c r="F14" s="7">
        <v>2</v>
      </c>
      <c r="G14" s="7" t="s">
        <v>83</v>
      </c>
      <c r="H14" t="s">
        <v>73</v>
      </c>
      <c r="I14" t="s">
        <v>16</v>
      </c>
      <c r="J14" s="7">
        <v>1</v>
      </c>
      <c r="K14" s="7"/>
    </row>
    <row r="15" spans="2:11" x14ac:dyDescent="0.4">
      <c r="B15" t="s">
        <v>120</v>
      </c>
      <c r="C15" t="s">
        <v>80</v>
      </c>
      <c r="D15" t="s">
        <v>122</v>
      </c>
      <c r="E15" t="s">
        <v>413</v>
      </c>
      <c r="F15" s="7">
        <v>2</v>
      </c>
      <c r="G15" s="7" t="s">
        <v>83</v>
      </c>
      <c r="H15" t="s">
        <v>73</v>
      </c>
      <c r="I15" t="s">
        <v>53</v>
      </c>
      <c r="J15" s="7">
        <v>1</v>
      </c>
      <c r="K15" s="7"/>
    </row>
    <row r="16" spans="2:11" x14ac:dyDescent="0.4">
      <c r="B16" t="s">
        <v>121</v>
      </c>
      <c r="C16" t="s">
        <v>80</v>
      </c>
      <c r="D16" t="s">
        <v>45</v>
      </c>
      <c r="E16" t="s">
        <v>413</v>
      </c>
      <c r="F16" s="7">
        <v>2</v>
      </c>
      <c r="G16" s="7" t="s">
        <v>85</v>
      </c>
      <c r="H16" t="s">
        <v>73</v>
      </c>
      <c r="I16" t="s">
        <v>17</v>
      </c>
      <c r="J16" s="7">
        <v>2</v>
      </c>
      <c r="K16" s="7"/>
    </row>
    <row r="17" spans="2:11" x14ac:dyDescent="0.4">
      <c r="B17" t="s">
        <v>125</v>
      </c>
      <c r="C17" t="s">
        <v>80</v>
      </c>
      <c r="D17" t="s">
        <v>127</v>
      </c>
      <c r="E17" t="s">
        <v>403</v>
      </c>
      <c r="F17" s="7">
        <v>3</v>
      </c>
      <c r="G17" s="7" t="s">
        <v>85</v>
      </c>
      <c r="H17" t="s">
        <v>73</v>
      </c>
      <c r="I17" t="s">
        <v>52</v>
      </c>
      <c r="J17" s="7">
        <v>4</v>
      </c>
      <c r="K17" s="7"/>
    </row>
    <row r="18" spans="2:11" x14ac:dyDescent="0.4">
      <c r="B18" t="s">
        <v>123</v>
      </c>
      <c r="C18" t="s">
        <v>440</v>
      </c>
      <c r="D18" t="s">
        <v>117</v>
      </c>
      <c r="E18" t="s">
        <v>90</v>
      </c>
      <c r="F18" s="7">
        <v>1</v>
      </c>
      <c r="G18" s="7" t="s">
        <v>85</v>
      </c>
      <c r="H18" t="s">
        <v>73</v>
      </c>
      <c r="I18" t="s">
        <v>392</v>
      </c>
      <c r="J18" s="7">
        <v>3</v>
      </c>
      <c r="K18" s="7"/>
    </row>
    <row r="19" spans="2:11" x14ac:dyDescent="0.4">
      <c r="B19" t="s">
        <v>124</v>
      </c>
      <c r="C19" t="s">
        <v>440</v>
      </c>
      <c r="D19" t="s">
        <v>119</v>
      </c>
      <c r="E19" t="s">
        <v>123</v>
      </c>
      <c r="F19" s="7">
        <v>2</v>
      </c>
      <c r="G19" s="7" t="s">
        <v>85</v>
      </c>
      <c r="H19" t="s">
        <v>73</v>
      </c>
      <c r="I19" t="s">
        <v>169</v>
      </c>
      <c r="J19" s="7">
        <v>2</v>
      </c>
      <c r="K19" s="7"/>
    </row>
    <row r="20" spans="2:11" x14ac:dyDescent="0.4">
      <c r="B20" t="s">
        <v>118</v>
      </c>
      <c r="C20" t="s">
        <v>440</v>
      </c>
      <c r="D20" t="s">
        <v>126</v>
      </c>
      <c r="E20" t="s">
        <v>124</v>
      </c>
      <c r="F20" s="7">
        <v>2</v>
      </c>
      <c r="G20" s="7" t="s">
        <v>85</v>
      </c>
      <c r="H20" t="s">
        <v>73</v>
      </c>
      <c r="I20" t="s">
        <v>56</v>
      </c>
      <c r="J20" s="7">
        <v>2</v>
      </c>
      <c r="K20" s="7"/>
    </row>
    <row r="21" spans="2:11" x14ac:dyDescent="0.4">
      <c r="B21" t="s">
        <v>132</v>
      </c>
      <c r="C21" t="s">
        <v>440</v>
      </c>
      <c r="D21" t="s">
        <v>129</v>
      </c>
      <c r="E21" t="s">
        <v>124</v>
      </c>
      <c r="F21" s="7">
        <v>2</v>
      </c>
      <c r="G21" s="7" t="s">
        <v>85</v>
      </c>
      <c r="H21" t="s">
        <v>73</v>
      </c>
      <c r="I21" t="s">
        <v>563</v>
      </c>
      <c r="J21" s="7">
        <v>2</v>
      </c>
      <c r="K21" s="7"/>
    </row>
    <row r="22" spans="2:11" x14ac:dyDescent="0.4">
      <c r="B22" t="s">
        <v>131</v>
      </c>
      <c r="C22" t="s">
        <v>440</v>
      </c>
      <c r="D22" t="s">
        <v>128</v>
      </c>
      <c r="E22" t="s">
        <v>118</v>
      </c>
      <c r="F22" s="7">
        <v>5</v>
      </c>
      <c r="G22" s="7" t="s">
        <v>85</v>
      </c>
      <c r="H22" t="s">
        <v>73</v>
      </c>
      <c r="I22" t="s">
        <v>564</v>
      </c>
      <c r="J22" s="7">
        <v>4</v>
      </c>
      <c r="K22" s="7"/>
    </row>
    <row r="23" spans="2:11" x14ac:dyDescent="0.4">
      <c r="B23" t="s">
        <v>47</v>
      </c>
      <c r="C23" t="s">
        <v>455</v>
      </c>
      <c r="D23" t="s">
        <v>134</v>
      </c>
      <c r="E23" t="s">
        <v>121</v>
      </c>
      <c r="F23" s="7">
        <v>3</v>
      </c>
      <c r="G23" s="7" t="s">
        <v>85</v>
      </c>
      <c r="H23" t="s">
        <v>73</v>
      </c>
      <c r="I23" t="s">
        <v>54</v>
      </c>
      <c r="J23" s="7">
        <v>3</v>
      </c>
      <c r="K23" s="7"/>
    </row>
    <row r="24" spans="2:11" x14ac:dyDescent="0.4">
      <c r="B24" t="s">
        <v>185</v>
      </c>
      <c r="C24" t="s">
        <v>455</v>
      </c>
      <c r="D24" t="s">
        <v>135</v>
      </c>
      <c r="E24" t="s">
        <v>106</v>
      </c>
      <c r="F24" s="7">
        <v>4</v>
      </c>
      <c r="G24" s="7" t="s">
        <v>85</v>
      </c>
      <c r="H24" t="s">
        <v>73</v>
      </c>
      <c r="I24" t="s">
        <v>10</v>
      </c>
      <c r="J24" s="7">
        <v>4</v>
      </c>
      <c r="K24" s="7"/>
    </row>
    <row r="25" spans="2:11" x14ac:dyDescent="0.4">
      <c r="B25" t="s">
        <v>217</v>
      </c>
      <c r="C25" t="s">
        <v>455</v>
      </c>
      <c r="D25" t="s">
        <v>133</v>
      </c>
      <c r="E25" t="s">
        <v>47</v>
      </c>
      <c r="F25" s="7">
        <v>5</v>
      </c>
      <c r="G25" s="7" t="s">
        <v>83</v>
      </c>
      <c r="H25" t="s">
        <v>73</v>
      </c>
      <c r="I25" t="s">
        <v>95</v>
      </c>
      <c r="J25" s="7">
        <v>4</v>
      </c>
      <c r="K25" s="7"/>
    </row>
    <row r="26" spans="2:11" x14ac:dyDescent="0.4">
      <c r="B26" t="s">
        <v>208</v>
      </c>
      <c r="C26" t="s">
        <v>455</v>
      </c>
      <c r="D26" t="s">
        <v>130</v>
      </c>
      <c r="E26" t="s">
        <v>47</v>
      </c>
      <c r="F26" s="7">
        <v>4</v>
      </c>
      <c r="G26" s="7" t="s">
        <v>83</v>
      </c>
      <c r="H26" t="s">
        <v>73</v>
      </c>
      <c r="I26" t="s">
        <v>58</v>
      </c>
      <c r="J26" s="7">
        <v>3</v>
      </c>
      <c r="K26" s="7"/>
    </row>
    <row r="27" spans="2:11" x14ac:dyDescent="0.4">
      <c r="B27" t="s">
        <v>219</v>
      </c>
      <c r="C27" t="s">
        <v>455</v>
      </c>
      <c r="D27" t="s">
        <v>218</v>
      </c>
      <c r="E27" t="s">
        <v>551</v>
      </c>
      <c r="F27" s="7">
        <v>4</v>
      </c>
      <c r="G27" s="7" t="s">
        <v>85</v>
      </c>
      <c r="H27" t="s">
        <v>73</v>
      </c>
      <c r="I27" t="s">
        <v>55</v>
      </c>
      <c r="J27" s="7">
        <v>3</v>
      </c>
      <c r="K27" s="7"/>
    </row>
    <row r="28" spans="2:11" x14ac:dyDescent="0.4">
      <c r="B28" t="s">
        <v>212</v>
      </c>
      <c r="C28" t="s">
        <v>89</v>
      </c>
      <c r="D28" t="s">
        <v>213</v>
      </c>
      <c r="E28" t="s">
        <v>19</v>
      </c>
      <c r="F28" s="7">
        <v>4</v>
      </c>
      <c r="G28" s="7" t="s">
        <v>85</v>
      </c>
      <c r="H28" t="s">
        <v>73</v>
      </c>
      <c r="I28" t="s">
        <v>57</v>
      </c>
      <c r="J28" s="7">
        <v>3</v>
      </c>
      <c r="K28" s="7"/>
    </row>
    <row r="29" spans="2:11" x14ac:dyDescent="0.4">
      <c r="B29" t="s">
        <v>220</v>
      </c>
      <c r="C29" t="s">
        <v>455</v>
      </c>
      <c r="D29" t="s">
        <v>521</v>
      </c>
      <c r="E29" t="s">
        <v>185</v>
      </c>
      <c r="F29" s="7">
        <v>5</v>
      </c>
      <c r="G29" s="7" t="s">
        <v>85</v>
      </c>
      <c r="H29" t="s">
        <v>73</v>
      </c>
      <c r="I29" t="s">
        <v>63</v>
      </c>
      <c r="J29" s="7">
        <v>2</v>
      </c>
      <c r="K29" s="7"/>
    </row>
    <row r="30" spans="2:11" x14ac:dyDescent="0.4">
      <c r="B30" t="s">
        <v>195</v>
      </c>
      <c r="C30" t="s">
        <v>455</v>
      </c>
      <c r="D30" t="s">
        <v>524</v>
      </c>
      <c r="E30" t="s">
        <v>220</v>
      </c>
      <c r="F30" s="7">
        <v>6</v>
      </c>
      <c r="G30" s="7" t="s">
        <v>85</v>
      </c>
      <c r="H30" t="s">
        <v>73</v>
      </c>
      <c r="I30" t="s">
        <v>38</v>
      </c>
      <c r="J30" s="7">
        <v>5</v>
      </c>
      <c r="K30" s="7"/>
    </row>
    <row r="31" spans="2:11" x14ac:dyDescent="0.4">
      <c r="B31" t="s">
        <v>205</v>
      </c>
      <c r="C31" t="s">
        <v>458</v>
      </c>
      <c r="D31" t="s">
        <v>189</v>
      </c>
      <c r="E31" t="s">
        <v>220</v>
      </c>
      <c r="F31" s="7">
        <v>6</v>
      </c>
      <c r="G31" s="7" t="s">
        <v>85</v>
      </c>
      <c r="H31" t="s">
        <v>73</v>
      </c>
      <c r="I31" t="s">
        <v>5</v>
      </c>
      <c r="J31" s="7">
        <v>5</v>
      </c>
      <c r="K31" s="7"/>
    </row>
    <row r="32" spans="2:11" x14ac:dyDescent="0.4">
      <c r="B32" t="s">
        <v>190</v>
      </c>
      <c r="C32" t="s">
        <v>86</v>
      </c>
      <c r="D32" t="s">
        <v>525</v>
      </c>
      <c r="E32" t="s">
        <v>522</v>
      </c>
      <c r="F32" s="7">
        <v>3</v>
      </c>
      <c r="G32" s="7" t="s">
        <v>85</v>
      </c>
      <c r="H32" t="s">
        <v>73</v>
      </c>
      <c r="I32" t="s">
        <v>173</v>
      </c>
      <c r="J32" s="7">
        <v>4</v>
      </c>
      <c r="K32" s="7"/>
    </row>
    <row r="33" spans="2:11" x14ac:dyDescent="0.4">
      <c r="B33" t="s">
        <v>199</v>
      </c>
      <c r="C33" t="s">
        <v>84</v>
      </c>
      <c r="D33" t="s">
        <v>191</v>
      </c>
      <c r="E33" t="s">
        <v>190</v>
      </c>
      <c r="F33" s="7">
        <v>3</v>
      </c>
      <c r="G33" s="7" t="s">
        <v>85</v>
      </c>
      <c r="H33" t="s">
        <v>73</v>
      </c>
      <c r="I33" t="s">
        <v>33</v>
      </c>
      <c r="J33" s="7">
        <v>4</v>
      </c>
      <c r="K33" s="7"/>
    </row>
    <row r="34" spans="2:11" x14ac:dyDescent="0.4">
      <c r="B34" t="s">
        <v>193</v>
      </c>
      <c r="C34" t="s">
        <v>86</v>
      </c>
      <c r="D34" t="s">
        <v>192</v>
      </c>
      <c r="E34" t="s">
        <v>552</v>
      </c>
      <c r="F34" s="7">
        <v>4</v>
      </c>
      <c r="G34" s="7" t="s">
        <v>85</v>
      </c>
      <c r="H34" t="s">
        <v>73</v>
      </c>
      <c r="I34" t="s">
        <v>59</v>
      </c>
      <c r="J34" s="7">
        <v>4</v>
      </c>
      <c r="K34" s="7"/>
    </row>
    <row r="35" spans="2:11" x14ac:dyDescent="0.4">
      <c r="B35" t="s">
        <v>523</v>
      </c>
      <c r="C35" t="s">
        <v>448</v>
      </c>
      <c r="D35" t="s">
        <v>529</v>
      </c>
      <c r="E35" t="s">
        <v>199</v>
      </c>
      <c r="F35" s="7">
        <v>4</v>
      </c>
      <c r="G35" s="7" t="s">
        <v>85</v>
      </c>
      <c r="H35" t="s">
        <v>73</v>
      </c>
      <c r="I35" t="s">
        <v>174</v>
      </c>
      <c r="J35" s="7">
        <v>4</v>
      </c>
      <c r="K35" s="7"/>
    </row>
    <row r="36" spans="2:11" x14ac:dyDescent="0.4">
      <c r="B36" t="s">
        <v>530</v>
      </c>
      <c r="C36" t="s">
        <v>448</v>
      </c>
      <c r="D36" t="s">
        <v>532</v>
      </c>
      <c r="E36" t="s">
        <v>405</v>
      </c>
      <c r="F36" s="7">
        <v>4</v>
      </c>
      <c r="G36" s="7" t="s">
        <v>85</v>
      </c>
      <c r="H36" t="s">
        <v>73</v>
      </c>
      <c r="I36" t="s">
        <v>171</v>
      </c>
      <c r="J36" s="7">
        <v>4</v>
      </c>
      <c r="K36" s="7"/>
    </row>
    <row r="37" spans="2:11" x14ac:dyDescent="0.4">
      <c r="B37" t="s">
        <v>527</v>
      </c>
      <c r="C37" t="s">
        <v>456</v>
      </c>
      <c r="D37" t="s">
        <v>531</v>
      </c>
      <c r="E37" t="s">
        <v>530</v>
      </c>
      <c r="F37" s="7">
        <v>5</v>
      </c>
      <c r="G37" s="7" t="s">
        <v>85</v>
      </c>
      <c r="H37" t="s">
        <v>73</v>
      </c>
      <c r="I37" t="s">
        <v>62</v>
      </c>
      <c r="J37" s="7">
        <v>3</v>
      </c>
      <c r="K37" s="7"/>
    </row>
    <row r="38" spans="2:11" x14ac:dyDescent="0.4">
      <c r="B38" t="s">
        <v>533</v>
      </c>
      <c r="C38" t="s">
        <v>448</v>
      </c>
      <c r="D38" t="s">
        <v>528</v>
      </c>
      <c r="E38" t="s">
        <v>527</v>
      </c>
      <c r="F38" s="7">
        <v>5</v>
      </c>
      <c r="G38" s="7" t="s">
        <v>85</v>
      </c>
      <c r="H38" t="s">
        <v>73</v>
      </c>
      <c r="I38" t="s">
        <v>8</v>
      </c>
      <c r="J38" s="7">
        <v>3</v>
      </c>
      <c r="K38" s="7"/>
    </row>
    <row r="39" spans="2:11" x14ac:dyDescent="0.4">
      <c r="B39" t="s">
        <v>210</v>
      </c>
      <c r="C39" t="s">
        <v>452</v>
      </c>
      <c r="D39" t="s">
        <v>442</v>
      </c>
      <c r="E39" t="s">
        <v>404</v>
      </c>
      <c r="F39" s="7">
        <v>5</v>
      </c>
      <c r="G39" s="7" t="s">
        <v>85</v>
      </c>
      <c r="H39" t="s">
        <v>73</v>
      </c>
      <c r="I39" t="s">
        <v>41</v>
      </c>
      <c r="J39" s="7">
        <v>3</v>
      </c>
      <c r="K39" s="7"/>
    </row>
    <row r="40" spans="2:11" x14ac:dyDescent="0.4">
      <c r="B40" t="s">
        <v>194</v>
      </c>
      <c r="C40" t="s">
        <v>453</v>
      </c>
      <c r="D40" t="s">
        <v>526</v>
      </c>
      <c r="E40" t="s">
        <v>190</v>
      </c>
      <c r="F40" s="7">
        <v>5</v>
      </c>
      <c r="G40" s="7" t="s">
        <v>85</v>
      </c>
      <c r="H40" t="s">
        <v>73</v>
      </c>
      <c r="I40" t="s">
        <v>9</v>
      </c>
      <c r="J40" s="7">
        <v>3</v>
      </c>
      <c r="K40" s="7"/>
    </row>
    <row r="41" spans="2:11" x14ac:dyDescent="0.4">
      <c r="B41" t="s">
        <v>196</v>
      </c>
      <c r="C41" t="s">
        <v>448</v>
      </c>
      <c r="D41" t="s">
        <v>197</v>
      </c>
      <c r="E41" t="s">
        <v>546</v>
      </c>
      <c r="F41" s="7">
        <v>6</v>
      </c>
      <c r="G41" s="7" t="s">
        <v>85</v>
      </c>
      <c r="H41" t="s">
        <v>73</v>
      </c>
      <c r="I41" t="s">
        <v>36</v>
      </c>
      <c r="J41" s="7">
        <v>8</v>
      </c>
      <c r="K41" s="7"/>
    </row>
    <row r="42" spans="2:11" x14ac:dyDescent="0.4">
      <c r="B42" t="s">
        <v>534</v>
      </c>
      <c r="C42" t="s">
        <v>441</v>
      </c>
      <c r="D42" t="s">
        <v>543</v>
      </c>
      <c r="E42" t="s">
        <v>199</v>
      </c>
      <c r="F42" s="7">
        <v>6</v>
      </c>
      <c r="G42" s="7" t="s">
        <v>85</v>
      </c>
      <c r="H42" t="s">
        <v>73</v>
      </c>
      <c r="I42" t="s">
        <v>548</v>
      </c>
      <c r="J42" s="7">
        <v>8</v>
      </c>
      <c r="K42" s="7"/>
    </row>
    <row r="43" spans="2:11" x14ac:dyDescent="0.4">
      <c r="B43" t="s">
        <v>535</v>
      </c>
      <c r="C43" t="s">
        <v>541</v>
      </c>
      <c r="D43" t="s">
        <v>542</v>
      </c>
      <c r="E43" t="s">
        <v>414</v>
      </c>
      <c r="F43" s="7">
        <v>7</v>
      </c>
      <c r="G43" s="7" t="s">
        <v>85</v>
      </c>
      <c r="H43" t="s">
        <v>73</v>
      </c>
      <c r="I43" t="s">
        <v>179</v>
      </c>
      <c r="J43" s="7">
        <v>5</v>
      </c>
      <c r="K43" s="7"/>
    </row>
    <row r="44" spans="2:11" x14ac:dyDescent="0.4">
      <c r="B44" t="s">
        <v>540</v>
      </c>
      <c r="C44" t="s">
        <v>443</v>
      </c>
      <c r="D44" t="s">
        <v>536</v>
      </c>
      <c r="E44" t="s">
        <v>535</v>
      </c>
      <c r="F44" s="7">
        <v>8</v>
      </c>
      <c r="G44" s="7" t="s">
        <v>83</v>
      </c>
      <c r="H44" t="s">
        <v>73</v>
      </c>
      <c r="I44" t="s">
        <v>60</v>
      </c>
      <c r="J44" s="7">
        <v>3</v>
      </c>
      <c r="K44" s="7"/>
    </row>
    <row r="45" spans="2:11" x14ac:dyDescent="0.4">
      <c r="B45" t="s">
        <v>537</v>
      </c>
      <c r="C45" t="s">
        <v>443</v>
      </c>
      <c r="D45" t="s">
        <v>538</v>
      </c>
      <c r="E45" t="s">
        <v>212</v>
      </c>
      <c r="F45" s="7">
        <v>8</v>
      </c>
      <c r="G45" s="7" t="s">
        <v>82</v>
      </c>
      <c r="H45" t="s">
        <v>73</v>
      </c>
      <c r="I45" t="s">
        <v>11</v>
      </c>
      <c r="J45" s="7">
        <v>3</v>
      </c>
      <c r="K45" s="7"/>
    </row>
    <row r="46" spans="2:11" x14ac:dyDescent="0.4">
      <c r="B46" t="s">
        <v>539</v>
      </c>
      <c r="C46" t="s">
        <v>443</v>
      </c>
      <c r="D46" t="s">
        <v>489</v>
      </c>
      <c r="E46" t="s">
        <v>1</v>
      </c>
      <c r="F46" s="7">
        <v>8</v>
      </c>
      <c r="G46" s="7" t="s">
        <v>82</v>
      </c>
      <c r="H46" t="s">
        <v>73</v>
      </c>
      <c r="I46" t="s">
        <v>176</v>
      </c>
      <c r="J46" s="7">
        <v>3</v>
      </c>
      <c r="K46" s="7"/>
    </row>
    <row r="47" spans="2:11" x14ac:dyDescent="0.4">
      <c r="B47" t="s">
        <v>481</v>
      </c>
      <c r="C47" t="s">
        <v>443</v>
      </c>
      <c r="D47" t="s">
        <v>203</v>
      </c>
      <c r="E47" t="s">
        <v>487</v>
      </c>
      <c r="F47" s="7">
        <v>8</v>
      </c>
      <c r="G47" s="7" t="s">
        <v>85</v>
      </c>
      <c r="H47" t="s">
        <v>73</v>
      </c>
      <c r="I47" t="s">
        <v>2</v>
      </c>
      <c r="J47" s="7">
        <v>8</v>
      </c>
      <c r="K47" s="7"/>
    </row>
    <row r="48" spans="2:11" x14ac:dyDescent="0.4">
      <c r="B48" t="s">
        <v>480</v>
      </c>
      <c r="C48" t="s">
        <v>449</v>
      </c>
      <c r="D48" t="s">
        <v>198</v>
      </c>
      <c r="F48" s="7">
        <v>3</v>
      </c>
      <c r="G48" s="7" t="s">
        <v>85</v>
      </c>
      <c r="H48" t="s">
        <v>73</v>
      </c>
      <c r="I48" t="s">
        <v>14</v>
      </c>
      <c r="J48" s="7">
        <v>5</v>
      </c>
      <c r="K48" s="7"/>
    </row>
    <row r="49" spans="2:11" x14ac:dyDescent="0.4">
      <c r="B49" t="s">
        <v>486</v>
      </c>
      <c r="C49" t="s">
        <v>449</v>
      </c>
      <c r="D49" t="s">
        <v>488</v>
      </c>
      <c r="E49" t="s">
        <v>480</v>
      </c>
      <c r="F49" s="7">
        <v>4</v>
      </c>
      <c r="G49" s="7" t="s">
        <v>85</v>
      </c>
      <c r="H49" t="s">
        <v>73</v>
      </c>
      <c r="I49" t="s">
        <v>170</v>
      </c>
      <c r="J49" s="7">
        <v>4</v>
      </c>
      <c r="K49" s="7"/>
    </row>
    <row r="50" spans="2:11" x14ac:dyDescent="0.4">
      <c r="B50" t="s">
        <v>482</v>
      </c>
      <c r="C50" t="s">
        <v>483</v>
      </c>
      <c r="D50" t="s">
        <v>484</v>
      </c>
      <c r="E50" t="s">
        <v>0</v>
      </c>
      <c r="F50" s="7">
        <v>4</v>
      </c>
      <c r="G50" s="7" t="s">
        <v>85</v>
      </c>
      <c r="H50" t="s">
        <v>73</v>
      </c>
      <c r="I50" t="s">
        <v>64</v>
      </c>
      <c r="J50" s="7">
        <v>5</v>
      </c>
      <c r="K50" s="7"/>
    </row>
    <row r="51" spans="2:11" ht="52.2" x14ac:dyDescent="0.4">
      <c r="B51" t="s">
        <v>485</v>
      </c>
      <c r="C51" t="s">
        <v>449</v>
      </c>
      <c r="D51" t="s">
        <v>206</v>
      </c>
      <c r="E51" t="s">
        <v>482</v>
      </c>
      <c r="F51" s="7">
        <v>5</v>
      </c>
      <c r="G51" s="7" t="s">
        <v>85</v>
      </c>
      <c r="H51" t="s">
        <v>73</v>
      </c>
      <c r="I51" s="1" t="s">
        <v>42</v>
      </c>
      <c r="J51" s="7">
        <v>3</v>
      </c>
      <c r="K51" s="7"/>
    </row>
    <row r="52" spans="2:11" ht="52.2" x14ac:dyDescent="0.4">
      <c r="B52" t="s">
        <v>490</v>
      </c>
      <c r="C52" t="s">
        <v>444</v>
      </c>
      <c r="D52" t="s">
        <v>200</v>
      </c>
      <c r="E52" t="s">
        <v>396</v>
      </c>
      <c r="F52" s="7">
        <v>5</v>
      </c>
      <c r="G52" s="7" t="s">
        <v>85</v>
      </c>
      <c r="H52" t="s">
        <v>73</v>
      </c>
      <c r="I52" s="1" t="s">
        <v>43</v>
      </c>
      <c r="J52" s="7">
        <v>3</v>
      </c>
      <c r="K52" s="7"/>
    </row>
    <row r="53" spans="2:11" x14ac:dyDescent="0.4">
      <c r="B53" t="s">
        <v>494</v>
      </c>
      <c r="C53" t="s">
        <v>457</v>
      </c>
      <c r="D53" t="s">
        <v>214</v>
      </c>
      <c r="E53" t="s">
        <v>482</v>
      </c>
      <c r="F53" s="7">
        <v>7</v>
      </c>
      <c r="G53" s="7" t="s">
        <v>83</v>
      </c>
      <c r="H53" t="s">
        <v>73</v>
      </c>
      <c r="I53" t="s">
        <v>3</v>
      </c>
      <c r="J53" s="7">
        <v>5</v>
      </c>
      <c r="K53" s="7"/>
    </row>
    <row r="54" spans="2:11" x14ac:dyDescent="0.4">
      <c r="B54" t="s">
        <v>487</v>
      </c>
      <c r="C54" t="s">
        <v>450</v>
      </c>
      <c r="D54" t="s">
        <v>28</v>
      </c>
      <c r="E54" t="s">
        <v>553</v>
      </c>
      <c r="F54" s="7">
        <v>7</v>
      </c>
      <c r="G54" s="7" t="s">
        <v>85</v>
      </c>
      <c r="H54" t="s">
        <v>73</v>
      </c>
      <c r="I54" t="s">
        <v>100</v>
      </c>
      <c r="J54" s="7">
        <v>3</v>
      </c>
      <c r="K54" s="7"/>
    </row>
    <row r="55" spans="2:11" x14ac:dyDescent="0.4">
      <c r="B55" t="s">
        <v>491</v>
      </c>
      <c r="C55" t="s">
        <v>87</v>
      </c>
      <c r="D55" t="s">
        <v>204</v>
      </c>
      <c r="F55" s="7">
        <v>8</v>
      </c>
      <c r="G55" s="7" t="s">
        <v>83</v>
      </c>
      <c r="H55" t="s">
        <v>73</v>
      </c>
      <c r="I55" t="s">
        <v>34</v>
      </c>
      <c r="J55" s="7">
        <v>10</v>
      </c>
      <c r="K55" s="7"/>
    </row>
    <row r="56" spans="2:11" x14ac:dyDescent="0.4">
      <c r="B56" t="s">
        <v>493</v>
      </c>
      <c r="C56" t="s">
        <v>445</v>
      </c>
      <c r="D56" t="s">
        <v>79</v>
      </c>
      <c r="E56" t="s">
        <v>90</v>
      </c>
      <c r="F56" s="7">
        <v>1</v>
      </c>
      <c r="G56" s="7" t="s">
        <v>83</v>
      </c>
      <c r="H56" t="s">
        <v>78</v>
      </c>
      <c r="I56" t="s">
        <v>492</v>
      </c>
      <c r="J56" s="7">
        <v>4</v>
      </c>
      <c r="K56" s="7"/>
    </row>
    <row r="57" spans="2:11" x14ac:dyDescent="0.4">
      <c r="B57" t="s">
        <v>495</v>
      </c>
      <c r="C57" t="s">
        <v>454</v>
      </c>
      <c r="D57" t="s">
        <v>496</v>
      </c>
      <c r="E57" t="s">
        <v>493</v>
      </c>
      <c r="F57" s="7">
        <v>2</v>
      </c>
      <c r="G57" s="7" t="s">
        <v>85</v>
      </c>
      <c r="H57" t="s">
        <v>78</v>
      </c>
      <c r="I57" t="s">
        <v>29</v>
      </c>
      <c r="J57" s="7">
        <v>4</v>
      </c>
      <c r="K57" s="7"/>
    </row>
    <row r="58" spans="2:11" x14ac:dyDescent="0.4">
      <c r="B58" t="s">
        <v>497</v>
      </c>
      <c r="C58" t="s">
        <v>454</v>
      </c>
      <c r="D58" t="s">
        <v>496</v>
      </c>
      <c r="E58" t="s">
        <v>504</v>
      </c>
      <c r="F58" s="7">
        <v>2</v>
      </c>
      <c r="G58" s="7" t="s">
        <v>85</v>
      </c>
      <c r="H58" t="s">
        <v>78</v>
      </c>
      <c r="I58" t="s">
        <v>32</v>
      </c>
      <c r="J58" s="7">
        <v>4</v>
      </c>
      <c r="K58" s="7"/>
    </row>
    <row r="59" spans="2:11" x14ac:dyDescent="0.4">
      <c r="B59" t="s">
        <v>503</v>
      </c>
      <c r="C59" t="s">
        <v>445</v>
      </c>
      <c r="D59" t="s">
        <v>446</v>
      </c>
      <c r="E59" t="s">
        <v>497</v>
      </c>
      <c r="F59" s="7">
        <v>3</v>
      </c>
      <c r="G59" s="7" t="s">
        <v>82</v>
      </c>
      <c r="H59" t="s">
        <v>78</v>
      </c>
      <c r="I59" t="s">
        <v>391</v>
      </c>
      <c r="J59" s="7">
        <v>6</v>
      </c>
      <c r="K59" s="7"/>
    </row>
    <row r="60" spans="2:11" x14ac:dyDescent="0.4">
      <c r="B60" t="s">
        <v>504</v>
      </c>
      <c r="C60" t="s">
        <v>72</v>
      </c>
      <c r="D60" t="s">
        <v>499</v>
      </c>
      <c r="E60" t="s">
        <v>90</v>
      </c>
      <c r="F60" s="7">
        <v>1</v>
      </c>
      <c r="G60" s="7" t="s">
        <v>85</v>
      </c>
      <c r="H60" t="s">
        <v>78</v>
      </c>
      <c r="I60" t="s">
        <v>31</v>
      </c>
      <c r="J60" s="7">
        <v>5</v>
      </c>
      <c r="K60" s="7"/>
    </row>
    <row r="61" spans="2:11" x14ac:dyDescent="0.4">
      <c r="B61" t="s">
        <v>498</v>
      </c>
      <c r="C61" t="s">
        <v>72</v>
      </c>
      <c r="D61" t="s">
        <v>500</v>
      </c>
      <c r="E61" t="s">
        <v>549</v>
      </c>
      <c r="F61" s="7">
        <v>3</v>
      </c>
      <c r="G61" s="7" t="s">
        <v>85</v>
      </c>
      <c r="H61" t="s">
        <v>78</v>
      </c>
      <c r="I61" t="s">
        <v>501</v>
      </c>
      <c r="J61" s="7">
        <v>4</v>
      </c>
      <c r="K61" s="7"/>
    </row>
    <row r="62" spans="2:11" x14ac:dyDescent="0.4">
      <c r="B62" t="s">
        <v>502</v>
      </c>
      <c r="C62" t="s">
        <v>72</v>
      </c>
      <c r="D62" t="s">
        <v>397</v>
      </c>
      <c r="E62" t="s">
        <v>562</v>
      </c>
      <c r="F62" s="7">
        <v>4</v>
      </c>
      <c r="G62" s="7" t="s">
        <v>83</v>
      </c>
      <c r="H62" t="s">
        <v>78</v>
      </c>
      <c r="I62" t="s">
        <v>409</v>
      </c>
      <c r="J62" s="7">
        <v>5</v>
      </c>
      <c r="K62" s="7"/>
    </row>
    <row r="63" spans="2:11" x14ac:dyDescent="0.4">
      <c r="B63" t="s">
        <v>201</v>
      </c>
      <c r="C63" t="s">
        <v>76</v>
      </c>
      <c r="D63" t="s">
        <v>27</v>
      </c>
      <c r="E63" t="s">
        <v>562</v>
      </c>
      <c r="F63" s="7">
        <v>4</v>
      </c>
      <c r="G63" s="7" t="s">
        <v>83</v>
      </c>
      <c r="H63" t="s">
        <v>78</v>
      </c>
      <c r="I63" t="s">
        <v>411</v>
      </c>
      <c r="J63" s="7">
        <v>5</v>
      </c>
      <c r="K63" s="7"/>
    </row>
    <row r="64" spans="2:11" x14ac:dyDescent="0.4">
      <c r="B64" t="s">
        <v>505</v>
      </c>
      <c r="C64" t="s">
        <v>76</v>
      </c>
      <c r="D64" t="s">
        <v>26</v>
      </c>
      <c r="E64" t="s">
        <v>562</v>
      </c>
      <c r="F64" s="7">
        <v>5</v>
      </c>
      <c r="G64" s="7" t="s">
        <v>83</v>
      </c>
      <c r="H64" t="s">
        <v>78</v>
      </c>
      <c r="I64" t="s">
        <v>393</v>
      </c>
      <c r="J64" s="7">
        <v>4</v>
      </c>
      <c r="K64" s="7"/>
    </row>
    <row r="65" spans="2:11" x14ac:dyDescent="0.4">
      <c r="B65" t="s">
        <v>479</v>
      </c>
      <c r="C65" t="s">
        <v>77</v>
      </c>
      <c r="D65" t="s">
        <v>202</v>
      </c>
      <c r="E65" t="s">
        <v>48</v>
      </c>
      <c r="F65" s="7">
        <v>6</v>
      </c>
      <c r="G65" s="7" t="s">
        <v>85</v>
      </c>
      <c r="H65" t="s">
        <v>78</v>
      </c>
      <c r="I65" t="s">
        <v>394</v>
      </c>
      <c r="J65" s="7">
        <v>4</v>
      </c>
      <c r="K65" s="7"/>
    </row>
    <row r="66" spans="2:11" x14ac:dyDescent="0.4">
      <c r="B66" t="s">
        <v>464</v>
      </c>
      <c r="C66" t="s">
        <v>472</v>
      </c>
      <c r="D66" t="s">
        <v>473</v>
      </c>
      <c r="E66" t="s">
        <v>495</v>
      </c>
      <c r="F66" s="7">
        <v>3</v>
      </c>
      <c r="G66" s="7" t="s">
        <v>85</v>
      </c>
      <c r="H66" t="s">
        <v>78</v>
      </c>
      <c r="I66" t="s">
        <v>510</v>
      </c>
      <c r="J66" s="7">
        <v>3</v>
      </c>
      <c r="K66" s="7"/>
    </row>
    <row r="67" spans="2:11" x14ac:dyDescent="0.4">
      <c r="B67" t="s">
        <v>506</v>
      </c>
      <c r="C67" t="s">
        <v>441</v>
      </c>
      <c r="D67" t="s">
        <v>215</v>
      </c>
      <c r="E67" t="s">
        <v>23</v>
      </c>
      <c r="F67" s="7">
        <v>4</v>
      </c>
      <c r="G67" s="7" t="s">
        <v>85</v>
      </c>
      <c r="H67" t="s">
        <v>78</v>
      </c>
      <c r="I67" t="s">
        <v>363</v>
      </c>
      <c r="J67" s="7">
        <v>3</v>
      </c>
      <c r="K67" s="7"/>
    </row>
    <row r="68" spans="2:11" x14ac:dyDescent="0.4">
      <c r="B68" t="s">
        <v>508</v>
      </c>
      <c r="C68" t="s">
        <v>465</v>
      </c>
      <c r="D68" t="s">
        <v>209</v>
      </c>
      <c r="E68" t="s">
        <v>479</v>
      </c>
      <c r="F68" s="7">
        <v>6</v>
      </c>
      <c r="G68" s="7" t="s">
        <v>83</v>
      </c>
      <c r="H68" t="s">
        <v>78</v>
      </c>
      <c r="I68" t="s">
        <v>395</v>
      </c>
      <c r="J68" s="7">
        <v>3</v>
      </c>
      <c r="K68" s="7"/>
    </row>
    <row r="69" spans="2:11" x14ac:dyDescent="0.4">
      <c r="B69" t="s">
        <v>507</v>
      </c>
      <c r="C69" t="s">
        <v>68</v>
      </c>
      <c r="D69" t="s">
        <v>211</v>
      </c>
      <c r="E69" t="s">
        <v>495</v>
      </c>
      <c r="F69" s="7">
        <v>3</v>
      </c>
      <c r="G69" s="7" t="s">
        <v>85</v>
      </c>
      <c r="H69" t="s">
        <v>78</v>
      </c>
      <c r="I69" t="s">
        <v>412</v>
      </c>
      <c r="J69" s="7">
        <v>4</v>
      </c>
      <c r="K69" s="7"/>
    </row>
    <row r="70" spans="2:11" x14ac:dyDescent="0.4">
      <c r="B70" t="s">
        <v>509</v>
      </c>
      <c r="C70" t="s">
        <v>68</v>
      </c>
      <c r="D70" t="s">
        <v>207</v>
      </c>
      <c r="E70" t="s">
        <v>398</v>
      </c>
      <c r="F70" s="7">
        <v>6</v>
      </c>
      <c r="G70" s="7" t="s">
        <v>83</v>
      </c>
      <c r="H70" t="s">
        <v>78</v>
      </c>
      <c r="I70" t="s">
        <v>216</v>
      </c>
      <c r="J70" s="7">
        <v>4</v>
      </c>
      <c r="K70" s="7"/>
    </row>
    <row r="71" spans="2:11" x14ac:dyDescent="0.4">
      <c r="B71" t="s">
        <v>237</v>
      </c>
      <c r="C71" t="s">
        <v>68</v>
      </c>
      <c r="D71" t="s">
        <v>224</v>
      </c>
      <c r="E71" t="s">
        <v>556</v>
      </c>
      <c r="F71" s="7">
        <v>3</v>
      </c>
      <c r="G71" s="7" t="s">
        <v>85</v>
      </c>
      <c r="H71" t="s">
        <v>78</v>
      </c>
      <c r="I71" t="s">
        <v>544</v>
      </c>
      <c r="J71" s="7">
        <v>5</v>
      </c>
      <c r="K71" s="7"/>
    </row>
    <row r="72" spans="2:11" x14ac:dyDescent="0.4">
      <c r="B72" t="s">
        <v>518</v>
      </c>
      <c r="C72" t="s">
        <v>441</v>
      </c>
      <c r="D72" t="s">
        <v>519</v>
      </c>
      <c r="E72" t="s">
        <v>549</v>
      </c>
      <c r="F72" s="7">
        <v>4</v>
      </c>
      <c r="G72" s="7" t="s">
        <v>83</v>
      </c>
      <c r="H72" t="s">
        <v>78</v>
      </c>
      <c r="I72" t="s">
        <v>519</v>
      </c>
      <c r="J72" s="7">
        <v>5</v>
      </c>
      <c r="K72" s="7"/>
    </row>
    <row r="73" spans="2:11" x14ac:dyDescent="0.4">
      <c r="B73" t="s">
        <v>514</v>
      </c>
      <c r="C73" t="s">
        <v>462</v>
      </c>
      <c r="D73" t="s">
        <v>520</v>
      </c>
      <c r="E73" t="s">
        <v>406</v>
      </c>
      <c r="F73" s="7">
        <v>2</v>
      </c>
      <c r="G73" s="7" t="s">
        <v>83</v>
      </c>
      <c r="H73" t="s">
        <v>74</v>
      </c>
      <c r="I73" t="s">
        <v>49</v>
      </c>
      <c r="J73" s="7">
        <v>3</v>
      </c>
      <c r="K73" s="7"/>
    </row>
    <row r="74" spans="2:11" x14ac:dyDescent="0.4">
      <c r="B74" t="s">
        <v>515</v>
      </c>
      <c r="C74" t="s">
        <v>462</v>
      </c>
      <c r="D74" t="s">
        <v>517</v>
      </c>
      <c r="E74" t="s">
        <v>512</v>
      </c>
      <c r="F74" s="7">
        <v>2</v>
      </c>
      <c r="G74" s="7" t="s">
        <v>82</v>
      </c>
      <c r="H74" t="s">
        <v>74</v>
      </c>
      <c r="I74" t="s">
        <v>364</v>
      </c>
      <c r="J74" s="7">
        <v>1</v>
      </c>
      <c r="K74" s="7"/>
    </row>
    <row r="75" spans="2:11" x14ac:dyDescent="0.4">
      <c r="B75" t="s">
        <v>512</v>
      </c>
      <c r="C75" t="s">
        <v>462</v>
      </c>
      <c r="D75" t="s">
        <v>513</v>
      </c>
      <c r="E75" t="s">
        <v>90</v>
      </c>
      <c r="F75" s="7">
        <v>1</v>
      </c>
      <c r="G75" s="7" t="s">
        <v>83</v>
      </c>
      <c r="H75" t="s">
        <v>74</v>
      </c>
      <c r="I75" t="s">
        <v>39</v>
      </c>
      <c r="J75" s="7">
        <v>2</v>
      </c>
      <c r="K75" s="7"/>
    </row>
    <row r="76" spans="2:11" x14ac:dyDescent="0.4">
      <c r="B76" t="s">
        <v>516</v>
      </c>
      <c r="C76" t="s">
        <v>462</v>
      </c>
      <c r="D76" t="s">
        <v>233</v>
      </c>
      <c r="E76" t="s">
        <v>512</v>
      </c>
      <c r="F76" s="7">
        <v>2</v>
      </c>
      <c r="G76" s="7" t="s">
        <v>83</v>
      </c>
      <c r="H76" t="s">
        <v>74</v>
      </c>
      <c r="I76" t="s">
        <v>365</v>
      </c>
      <c r="J76" s="7">
        <v>2</v>
      </c>
      <c r="K76" s="7"/>
    </row>
    <row r="77" spans="2:11" x14ac:dyDescent="0.4">
      <c r="B77" t="s">
        <v>511</v>
      </c>
      <c r="C77" t="s">
        <v>475</v>
      </c>
      <c r="D77" t="s">
        <v>225</v>
      </c>
      <c r="E77" t="s">
        <v>90</v>
      </c>
      <c r="F77" s="7">
        <v>1</v>
      </c>
      <c r="G77" s="7" t="s">
        <v>82</v>
      </c>
      <c r="H77" t="s">
        <v>74</v>
      </c>
      <c r="I77" t="s">
        <v>50</v>
      </c>
      <c r="J77" s="7">
        <v>1</v>
      </c>
      <c r="K77" s="7"/>
    </row>
    <row r="78" spans="2:11" x14ac:dyDescent="0.4">
      <c r="B78" t="s">
        <v>291</v>
      </c>
      <c r="C78" t="s">
        <v>475</v>
      </c>
      <c r="D78" t="s">
        <v>235</v>
      </c>
      <c r="E78" t="s">
        <v>180</v>
      </c>
      <c r="F78" s="7">
        <v>3</v>
      </c>
      <c r="G78" s="7" t="s">
        <v>85</v>
      </c>
      <c r="H78" t="s">
        <v>74</v>
      </c>
      <c r="I78" t="s">
        <v>12</v>
      </c>
      <c r="J78" s="7">
        <v>4</v>
      </c>
      <c r="K78" s="7"/>
    </row>
    <row r="79" spans="2:11" x14ac:dyDescent="0.4">
      <c r="B79" t="s">
        <v>297</v>
      </c>
      <c r="C79" t="s">
        <v>475</v>
      </c>
      <c r="D79" t="s">
        <v>251</v>
      </c>
      <c r="E79" t="s">
        <v>407</v>
      </c>
      <c r="F79" s="7">
        <v>5</v>
      </c>
      <c r="G79" s="7" t="s">
        <v>85</v>
      </c>
      <c r="H79" t="s">
        <v>74</v>
      </c>
      <c r="I79" t="s">
        <v>61</v>
      </c>
      <c r="J79" s="7">
        <v>3</v>
      </c>
      <c r="K79" s="7"/>
    </row>
    <row r="80" spans="2:11" x14ac:dyDescent="0.4">
      <c r="B80" t="s">
        <v>295</v>
      </c>
      <c r="C80" t="s">
        <v>475</v>
      </c>
      <c r="D80" t="s">
        <v>290</v>
      </c>
      <c r="E80" t="s">
        <v>399</v>
      </c>
      <c r="F80" s="7">
        <v>6</v>
      </c>
      <c r="G80" s="7" t="s">
        <v>83</v>
      </c>
      <c r="H80" t="s">
        <v>74</v>
      </c>
      <c r="I80" t="s">
        <v>13</v>
      </c>
      <c r="J80" s="7">
        <v>3</v>
      </c>
      <c r="K80" s="7"/>
    </row>
    <row r="81" spans="2:11" x14ac:dyDescent="0.4">
      <c r="B81" t="s">
        <v>289</v>
      </c>
      <c r="C81" t="s">
        <v>475</v>
      </c>
      <c r="D81" t="s">
        <v>247</v>
      </c>
      <c r="E81" t="s">
        <v>295</v>
      </c>
      <c r="F81" s="7">
        <v>6</v>
      </c>
      <c r="G81" s="7" t="s">
        <v>82</v>
      </c>
      <c r="H81" t="s">
        <v>74</v>
      </c>
      <c r="I81" t="s">
        <v>557</v>
      </c>
      <c r="J81" s="7">
        <v>2</v>
      </c>
      <c r="K81" s="7"/>
    </row>
    <row r="82" spans="2:11" x14ac:dyDescent="0.4">
      <c r="B82" t="s">
        <v>294</v>
      </c>
      <c r="C82" t="s">
        <v>475</v>
      </c>
      <c r="D82" t="s">
        <v>292</v>
      </c>
      <c r="E82" t="s">
        <v>550</v>
      </c>
      <c r="F82" s="7">
        <v>6</v>
      </c>
      <c r="G82" s="7" t="s">
        <v>85</v>
      </c>
      <c r="H82" t="s">
        <v>74</v>
      </c>
      <c r="I82" t="s">
        <v>558</v>
      </c>
      <c r="J82" s="7">
        <v>3</v>
      </c>
      <c r="K82" s="7"/>
    </row>
    <row r="83" spans="2:11" x14ac:dyDescent="0.4">
      <c r="B83" t="s">
        <v>293</v>
      </c>
      <c r="C83" t="s">
        <v>460</v>
      </c>
      <c r="D83" t="s">
        <v>296</v>
      </c>
      <c r="E83" t="s">
        <v>512</v>
      </c>
      <c r="F83" s="7">
        <v>2</v>
      </c>
      <c r="G83" s="7" t="s">
        <v>85</v>
      </c>
      <c r="H83" t="s">
        <v>74</v>
      </c>
      <c r="I83" t="s">
        <v>51</v>
      </c>
      <c r="J83" s="7">
        <v>3</v>
      </c>
      <c r="K83" s="7"/>
    </row>
    <row r="84" spans="2:11" x14ac:dyDescent="0.4">
      <c r="B84" t="s">
        <v>298</v>
      </c>
      <c r="C84" t="s">
        <v>460</v>
      </c>
      <c r="D84" t="s">
        <v>461</v>
      </c>
      <c r="E84" t="s">
        <v>293</v>
      </c>
      <c r="F84" s="7">
        <v>3</v>
      </c>
      <c r="G84" s="7" t="s">
        <v>83</v>
      </c>
      <c r="H84" t="s">
        <v>74</v>
      </c>
      <c r="I84" t="s">
        <v>366</v>
      </c>
      <c r="J84" s="7">
        <v>2</v>
      </c>
      <c r="K84" s="7"/>
    </row>
    <row r="85" spans="2:11" x14ac:dyDescent="0.4">
      <c r="B85" t="s">
        <v>304</v>
      </c>
      <c r="C85" t="s">
        <v>460</v>
      </c>
      <c r="D85" t="s">
        <v>307</v>
      </c>
      <c r="E85" t="s">
        <v>400</v>
      </c>
      <c r="F85" s="7">
        <v>8</v>
      </c>
      <c r="G85" s="7" t="s">
        <v>85</v>
      </c>
      <c r="H85" t="s">
        <v>74</v>
      </c>
      <c r="I85" t="s">
        <v>181</v>
      </c>
      <c r="J85" s="7">
        <v>3</v>
      </c>
      <c r="K85" s="7"/>
    </row>
    <row r="86" spans="2:11" x14ac:dyDescent="0.4">
      <c r="B86" t="s">
        <v>303</v>
      </c>
      <c r="C86" t="s">
        <v>460</v>
      </c>
      <c r="D86" t="s">
        <v>305</v>
      </c>
      <c r="E86" t="s">
        <v>175</v>
      </c>
      <c r="F86" s="7">
        <v>9</v>
      </c>
      <c r="G86" s="7" t="s">
        <v>83</v>
      </c>
      <c r="H86" t="s">
        <v>74</v>
      </c>
      <c r="I86" t="s">
        <v>361</v>
      </c>
      <c r="J86" s="7">
        <v>3</v>
      </c>
      <c r="K86" s="7"/>
    </row>
    <row r="87" spans="2:11" x14ac:dyDescent="0.4">
      <c r="B87" t="s">
        <v>301</v>
      </c>
      <c r="C87" t="s">
        <v>77</v>
      </c>
      <c r="D87" t="s">
        <v>308</v>
      </c>
      <c r="E87" t="s">
        <v>90</v>
      </c>
      <c r="F87" s="7">
        <v>1</v>
      </c>
      <c r="G87" s="7" t="s">
        <v>82</v>
      </c>
      <c r="H87" t="s">
        <v>74</v>
      </c>
      <c r="I87" t="s">
        <v>178</v>
      </c>
      <c r="J87" s="7">
        <v>5</v>
      </c>
      <c r="K87" s="7"/>
    </row>
    <row r="88" spans="2:11" x14ac:dyDescent="0.4">
      <c r="B88" t="s">
        <v>306</v>
      </c>
      <c r="C88" t="s">
        <v>77</v>
      </c>
      <c r="D88" t="s">
        <v>300</v>
      </c>
      <c r="E88" t="s">
        <v>401</v>
      </c>
      <c r="F88" s="7">
        <v>3</v>
      </c>
      <c r="G88" s="7" t="s">
        <v>82</v>
      </c>
      <c r="H88" t="s">
        <v>74</v>
      </c>
      <c r="I88" t="s">
        <v>368</v>
      </c>
      <c r="J88" s="7">
        <v>3</v>
      </c>
      <c r="K88" s="7"/>
    </row>
    <row r="89" spans="2:11" x14ac:dyDescent="0.4">
      <c r="B89" t="s">
        <v>302</v>
      </c>
      <c r="C89" t="s">
        <v>77</v>
      </c>
      <c r="D89" t="s">
        <v>299</v>
      </c>
      <c r="E89" t="s">
        <v>90</v>
      </c>
      <c r="F89" s="7">
        <v>1</v>
      </c>
      <c r="G89" s="7" t="s">
        <v>83</v>
      </c>
      <c r="H89" t="s">
        <v>74</v>
      </c>
      <c r="I89" t="s">
        <v>359</v>
      </c>
      <c r="J89" s="7">
        <v>6</v>
      </c>
      <c r="K89" s="7"/>
    </row>
    <row r="90" spans="2:11" x14ac:dyDescent="0.4">
      <c r="B90" t="s">
        <v>309</v>
      </c>
      <c r="C90" t="s">
        <v>77</v>
      </c>
      <c r="D90" t="s">
        <v>231</v>
      </c>
      <c r="E90" t="s">
        <v>177</v>
      </c>
      <c r="F90" s="7">
        <v>7</v>
      </c>
      <c r="G90" s="7" t="s">
        <v>83</v>
      </c>
      <c r="H90" t="s">
        <v>74</v>
      </c>
      <c r="I90" t="s">
        <v>96</v>
      </c>
      <c r="J90" s="7">
        <v>4</v>
      </c>
      <c r="K90" s="7"/>
    </row>
    <row r="91" spans="2:11" x14ac:dyDescent="0.4">
      <c r="B91" t="s">
        <v>314</v>
      </c>
      <c r="C91" t="s">
        <v>77</v>
      </c>
      <c r="D91" t="s">
        <v>240</v>
      </c>
      <c r="E91" t="s">
        <v>367</v>
      </c>
      <c r="F91" s="7">
        <v>4</v>
      </c>
      <c r="G91" s="7" t="s">
        <v>85</v>
      </c>
      <c r="H91" t="s">
        <v>74</v>
      </c>
      <c r="I91" t="s">
        <v>97</v>
      </c>
      <c r="J91" s="7">
        <v>6</v>
      </c>
      <c r="K91" s="7"/>
    </row>
    <row r="92" spans="2:11" x14ac:dyDescent="0.4">
      <c r="B92" t="s">
        <v>313</v>
      </c>
      <c r="C92" t="s">
        <v>77</v>
      </c>
      <c r="D92" t="s">
        <v>226</v>
      </c>
      <c r="E92" t="s">
        <v>402</v>
      </c>
      <c r="F92" s="7">
        <v>3</v>
      </c>
      <c r="G92" s="7" t="s">
        <v>82</v>
      </c>
      <c r="H92" t="s">
        <v>74</v>
      </c>
      <c r="I92" t="s">
        <v>182</v>
      </c>
      <c r="J92" s="7">
        <v>3</v>
      </c>
      <c r="K92" s="7"/>
    </row>
    <row r="93" spans="2:11" x14ac:dyDescent="0.4">
      <c r="B93" t="s">
        <v>315</v>
      </c>
      <c r="C93" t="s">
        <v>77</v>
      </c>
      <c r="D93" t="s">
        <v>310</v>
      </c>
      <c r="E93" t="s">
        <v>295</v>
      </c>
      <c r="F93" s="7">
        <v>8</v>
      </c>
      <c r="G93" s="7" t="s">
        <v>83</v>
      </c>
      <c r="H93" t="s">
        <v>74</v>
      </c>
      <c r="I93" t="s">
        <v>183</v>
      </c>
      <c r="J93" s="7">
        <v>4</v>
      </c>
      <c r="K93" s="7"/>
    </row>
    <row r="94" spans="2:11" x14ac:dyDescent="0.4">
      <c r="B94" t="s">
        <v>311</v>
      </c>
      <c r="C94" t="s">
        <v>77</v>
      </c>
      <c r="D94" t="s">
        <v>316</v>
      </c>
      <c r="E94" t="s">
        <v>303</v>
      </c>
      <c r="F94" s="7">
        <v>8</v>
      </c>
      <c r="G94" s="7" t="s">
        <v>83</v>
      </c>
      <c r="H94" t="s">
        <v>74</v>
      </c>
      <c r="I94" t="s">
        <v>369</v>
      </c>
      <c r="J94" s="7">
        <v>4</v>
      </c>
      <c r="K94" s="7"/>
    </row>
    <row r="95" spans="2:11" x14ac:dyDescent="0.4">
      <c r="B95" t="s">
        <v>317</v>
      </c>
      <c r="C95" t="s">
        <v>77</v>
      </c>
      <c r="D95" t="s">
        <v>312</v>
      </c>
      <c r="E95" t="s">
        <v>25</v>
      </c>
      <c r="F95" s="7">
        <v>8</v>
      </c>
      <c r="G95" s="7" t="s">
        <v>83</v>
      </c>
      <c r="H95" t="s">
        <v>74</v>
      </c>
      <c r="I95" t="s">
        <v>184</v>
      </c>
      <c r="J95" s="7">
        <v>3</v>
      </c>
      <c r="K95" s="7"/>
    </row>
    <row r="96" spans="2:11" x14ac:dyDescent="0.4">
      <c r="B96" t="s">
        <v>326</v>
      </c>
      <c r="C96" t="s">
        <v>77</v>
      </c>
      <c r="D96" t="s">
        <v>471</v>
      </c>
      <c r="E96" t="s">
        <v>512</v>
      </c>
      <c r="F96" s="7">
        <v>3</v>
      </c>
      <c r="G96" s="7" t="s">
        <v>82</v>
      </c>
      <c r="H96" t="s">
        <v>74</v>
      </c>
      <c r="I96" t="s">
        <v>561</v>
      </c>
      <c r="J96" s="7">
        <v>3</v>
      </c>
      <c r="K96" s="7"/>
    </row>
    <row r="97" spans="2:11" x14ac:dyDescent="0.4">
      <c r="B97" t="s">
        <v>321</v>
      </c>
      <c r="C97" t="s">
        <v>77</v>
      </c>
      <c r="D97" t="s">
        <v>242</v>
      </c>
      <c r="E97" t="s">
        <v>408</v>
      </c>
      <c r="F97" s="7">
        <v>4</v>
      </c>
      <c r="G97" s="7" t="s">
        <v>83</v>
      </c>
      <c r="H97" t="s">
        <v>74</v>
      </c>
      <c r="I97" t="s">
        <v>559</v>
      </c>
      <c r="J97" s="7">
        <v>3</v>
      </c>
      <c r="K97" s="7"/>
    </row>
    <row r="98" spans="2:11" x14ac:dyDescent="0.4">
      <c r="B98" t="s">
        <v>327</v>
      </c>
      <c r="C98" t="s">
        <v>474</v>
      </c>
      <c r="D98" t="s">
        <v>243</v>
      </c>
      <c r="E98" t="s">
        <v>90</v>
      </c>
      <c r="F98" s="7">
        <v>1</v>
      </c>
      <c r="G98" s="7" t="s">
        <v>83</v>
      </c>
      <c r="H98" t="s">
        <v>74</v>
      </c>
      <c r="I98" t="s">
        <v>172</v>
      </c>
      <c r="J98" s="7">
        <v>2</v>
      </c>
      <c r="K98" s="7"/>
    </row>
    <row r="99" spans="2:11" x14ac:dyDescent="0.4">
      <c r="B99" t="s">
        <v>318</v>
      </c>
      <c r="C99" t="s">
        <v>474</v>
      </c>
      <c r="D99" t="s">
        <v>325</v>
      </c>
      <c r="E99" t="s">
        <v>339</v>
      </c>
      <c r="F99" s="7">
        <v>7</v>
      </c>
      <c r="G99" s="7" t="s">
        <v>85</v>
      </c>
      <c r="H99" t="s">
        <v>74</v>
      </c>
      <c r="I99" t="s">
        <v>356</v>
      </c>
      <c r="J99" s="7">
        <v>5</v>
      </c>
      <c r="K99" s="7"/>
    </row>
    <row r="100" spans="2:11" x14ac:dyDescent="0.4">
      <c r="B100" t="s">
        <v>320</v>
      </c>
      <c r="C100" t="s">
        <v>474</v>
      </c>
      <c r="D100" t="s">
        <v>319</v>
      </c>
      <c r="E100" t="s">
        <v>318</v>
      </c>
      <c r="F100" s="7">
        <v>8</v>
      </c>
      <c r="G100" s="7" t="s">
        <v>83</v>
      </c>
      <c r="H100" t="s">
        <v>74</v>
      </c>
      <c r="I100" t="s">
        <v>342</v>
      </c>
      <c r="J100" s="7">
        <v>4</v>
      </c>
      <c r="K100" s="7"/>
    </row>
    <row r="101" spans="2:11" x14ac:dyDescent="0.4">
      <c r="B101" t="s">
        <v>323</v>
      </c>
      <c r="C101" t="s">
        <v>474</v>
      </c>
      <c r="D101" t="s">
        <v>322</v>
      </c>
      <c r="E101" t="s">
        <v>327</v>
      </c>
      <c r="F101" s="7">
        <v>2</v>
      </c>
      <c r="G101" s="7" t="s">
        <v>83</v>
      </c>
      <c r="H101" t="s">
        <v>74</v>
      </c>
      <c r="I101" t="s">
        <v>565</v>
      </c>
      <c r="J101" s="7">
        <v>4</v>
      </c>
      <c r="K101" s="7"/>
    </row>
    <row r="102" spans="2:11" x14ac:dyDescent="0.4">
      <c r="B102" t="s">
        <v>324</v>
      </c>
      <c r="C102" t="s">
        <v>474</v>
      </c>
      <c r="D102" t="s">
        <v>330</v>
      </c>
      <c r="E102" t="s">
        <v>343</v>
      </c>
      <c r="F102" s="7">
        <v>8</v>
      </c>
      <c r="G102" s="7" t="s">
        <v>85</v>
      </c>
      <c r="H102" t="s">
        <v>74</v>
      </c>
      <c r="I102" t="s">
        <v>358</v>
      </c>
      <c r="J102" s="7">
        <v>6</v>
      </c>
      <c r="K102" s="7"/>
    </row>
    <row r="103" spans="2:11" x14ac:dyDescent="0.4">
      <c r="B103" t="s">
        <v>331</v>
      </c>
      <c r="C103" t="s">
        <v>66</v>
      </c>
      <c r="D103" t="s">
        <v>335</v>
      </c>
      <c r="E103" t="s">
        <v>90</v>
      </c>
      <c r="F103" s="7">
        <v>1</v>
      </c>
      <c r="G103" s="7" t="s">
        <v>82</v>
      </c>
      <c r="H103" t="s">
        <v>74</v>
      </c>
      <c r="I103" t="s">
        <v>352</v>
      </c>
      <c r="J103" s="7">
        <v>2</v>
      </c>
      <c r="K103" s="7"/>
    </row>
    <row r="104" spans="2:11" x14ac:dyDescent="0.4">
      <c r="B104" t="s">
        <v>329</v>
      </c>
      <c r="C104" t="s">
        <v>66</v>
      </c>
      <c r="D104" t="s">
        <v>332</v>
      </c>
      <c r="E104" t="s">
        <v>331</v>
      </c>
      <c r="F104" s="7">
        <v>2</v>
      </c>
      <c r="G104" s="7" t="s">
        <v>82</v>
      </c>
      <c r="H104" t="s">
        <v>74</v>
      </c>
      <c r="I104" t="s">
        <v>373</v>
      </c>
      <c r="J104" s="7">
        <v>3</v>
      </c>
      <c r="K104" s="7"/>
    </row>
    <row r="105" spans="2:11" x14ac:dyDescent="0.4">
      <c r="B105" t="s">
        <v>334</v>
      </c>
      <c r="C105" t="s">
        <v>66</v>
      </c>
      <c r="D105" t="s">
        <v>20</v>
      </c>
      <c r="E105" t="s">
        <v>410</v>
      </c>
      <c r="F105" s="7">
        <v>3</v>
      </c>
      <c r="G105" s="7" t="s">
        <v>83</v>
      </c>
      <c r="H105" t="s">
        <v>74</v>
      </c>
      <c r="I105" t="s">
        <v>370</v>
      </c>
      <c r="J105" s="7">
        <v>3</v>
      </c>
      <c r="K105" s="7"/>
    </row>
    <row r="106" spans="2:11" x14ac:dyDescent="0.4">
      <c r="B106" t="s">
        <v>336</v>
      </c>
      <c r="C106" t="s">
        <v>66</v>
      </c>
      <c r="D106" t="s">
        <v>337</v>
      </c>
      <c r="E106" t="s">
        <v>90</v>
      </c>
      <c r="F106" s="7">
        <v>1</v>
      </c>
      <c r="G106" s="7" t="s">
        <v>82</v>
      </c>
      <c r="H106" t="s">
        <v>74</v>
      </c>
      <c r="I106" t="s">
        <v>238</v>
      </c>
      <c r="J106" s="7">
        <v>2</v>
      </c>
      <c r="K106" s="7"/>
    </row>
    <row r="107" spans="2:11" x14ac:dyDescent="0.4">
      <c r="B107" t="s">
        <v>333</v>
      </c>
      <c r="C107" t="s">
        <v>66</v>
      </c>
      <c r="D107" t="s">
        <v>328</v>
      </c>
      <c r="E107" t="s">
        <v>336</v>
      </c>
      <c r="F107" s="7">
        <v>2</v>
      </c>
      <c r="G107" s="7" t="s">
        <v>82</v>
      </c>
      <c r="H107" t="s">
        <v>74</v>
      </c>
      <c r="I107" t="s">
        <v>371</v>
      </c>
      <c r="J107" s="7">
        <v>3</v>
      </c>
      <c r="K107" s="7"/>
    </row>
    <row r="108" spans="2:11" x14ac:dyDescent="0.4">
      <c r="B108" t="s">
        <v>265</v>
      </c>
      <c r="C108" t="s">
        <v>66</v>
      </c>
      <c r="D108" t="s">
        <v>227</v>
      </c>
      <c r="E108" t="s">
        <v>346</v>
      </c>
      <c r="F108" s="7">
        <v>8</v>
      </c>
      <c r="G108" s="7" t="s">
        <v>85</v>
      </c>
      <c r="H108" t="s">
        <v>74</v>
      </c>
      <c r="I108" t="s">
        <v>372</v>
      </c>
      <c r="J108" s="7">
        <v>5</v>
      </c>
      <c r="K108" s="7"/>
    </row>
    <row r="109" spans="2:11" x14ac:dyDescent="0.4">
      <c r="B109" t="s">
        <v>267</v>
      </c>
      <c r="C109" t="s">
        <v>66</v>
      </c>
      <c r="D109" t="s">
        <v>228</v>
      </c>
      <c r="E109" t="s">
        <v>566</v>
      </c>
      <c r="F109" s="7">
        <v>3</v>
      </c>
      <c r="G109" s="7" t="s">
        <v>83</v>
      </c>
      <c r="H109" t="s">
        <v>74</v>
      </c>
      <c r="I109" t="s">
        <v>376</v>
      </c>
      <c r="J109" s="7">
        <v>3</v>
      </c>
      <c r="K109" s="7"/>
    </row>
    <row r="110" spans="2:11" x14ac:dyDescent="0.4">
      <c r="B110" t="s">
        <v>263</v>
      </c>
      <c r="C110" t="s">
        <v>66</v>
      </c>
      <c r="D110" t="s">
        <v>266</v>
      </c>
      <c r="E110" t="s">
        <v>267</v>
      </c>
      <c r="F110" s="7">
        <v>4</v>
      </c>
      <c r="G110" s="7" t="s">
        <v>83</v>
      </c>
      <c r="H110" t="s">
        <v>74</v>
      </c>
      <c r="I110" t="s">
        <v>375</v>
      </c>
      <c r="J110" s="7">
        <v>2</v>
      </c>
      <c r="K110" s="7"/>
    </row>
    <row r="111" spans="2:11" x14ac:dyDescent="0.4">
      <c r="B111" t="s">
        <v>261</v>
      </c>
      <c r="C111" t="s">
        <v>258</v>
      </c>
      <c r="D111" t="s">
        <v>248</v>
      </c>
      <c r="F111" s="7">
        <v>1</v>
      </c>
      <c r="G111" s="7" t="s">
        <v>82</v>
      </c>
      <c r="H111" t="s">
        <v>75</v>
      </c>
      <c r="I111" t="s">
        <v>374</v>
      </c>
      <c r="J111" s="7">
        <v>3</v>
      </c>
      <c r="K111" s="7"/>
    </row>
    <row r="112" spans="2:11" x14ac:dyDescent="0.4">
      <c r="B112" t="s">
        <v>262</v>
      </c>
      <c r="C112" t="s">
        <v>258</v>
      </c>
      <c r="D112" t="s">
        <v>252</v>
      </c>
      <c r="E112" t="s">
        <v>261</v>
      </c>
      <c r="F112" s="7">
        <v>2</v>
      </c>
      <c r="G112" s="7" t="s">
        <v>83</v>
      </c>
      <c r="H112" t="s">
        <v>75</v>
      </c>
      <c r="I112" t="s">
        <v>382</v>
      </c>
      <c r="J112" s="7">
        <v>5</v>
      </c>
      <c r="K112" s="7"/>
    </row>
    <row r="113" spans="2:11" x14ac:dyDescent="0.4">
      <c r="B113" t="s">
        <v>264</v>
      </c>
      <c r="C113" t="s">
        <v>258</v>
      </c>
      <c r="D113" t="s">
        <v>229</v>
      </c>
      <c r="E113" t="s">
        <v>262</v>
      </c>
      <c r="F113" s="7">
        <v>3</v>
      </c>
      <c r="G113" s="7" t="s">
        <v>82</v>
      </c>
      <c r="H113" t="s">
        <v>75</v>
      </c>
      <c r="I113" t="s">
        <v>354</v>
      </c>
      <c r="J113" s="7">
        <v>3</v>
      </c>
      <c r="K113" s="7"/>
    </row>
    <row r="114" spans="2:11" x14ac:dyDescent="0.4">
      <c r="B114" t="s">
        <v>260</v>
      </c>
      <c r="C114" t="s">
        <v>476</v>
      </c>
      <c r="D114" t="s">
        <v>259</v>
      </c>
      <c r="E114" t="s">
        <v>423</v>
      </c>
      <c r="F114" s="7">
        <v>6</v>
      </c>
      <c r="G114" s="7" t="s">
        <v>83</v>
      </c>
      <c r="H114" t="s">
        <v>75</v>
      </c>
      <c r="I114" t="s">
        <v>547</v>
      </c>
      <c r="J114" s="7">
        <v>5</v>
      </c>
      <c r="K114" s="7"/>
    </row>
    <row r="115" spans="2:11" x14ac:dyDescent="0.4">
      <c r="B115" t="s">
        <v>269</v>
      </c>
      <c r="C115" t="s">
        <v>476</v>
      </c>
      <c r="D115" t="s">
        <v>272</v>
      </c>
      <c r="E115" t="s">
        <v>435</v>
      </c>
      <c r="F115" s="7">
        <v>3</v>
      </c>
      <c r="G115" s="7" t="s">
        <v>83</v>
      </c>
      <c r="H115" t="s">
        <v>75</v>
      </c>
      <c r="I115" t="s">
        <v>377</v>
      </c>
      <c r="J115" s="7">
        <v>5</v>
      </c>
      <c r="K115" s="7"/>
    </row>
    <row r="116" spans="2:11" x14ac:dyDescent="0.4">
      <c r="B116" t="s">
        <v>278</v>
      </c>
      <c r="C116" t="s">
        <v>478</v>
      </c>
      <c r="D116" t="s">
        <v>273</v>
      </c>
      <c r="E116" t="s">
        <v>262</v>
      </c>
      <c r="F116" s="7">
        <v>3</v>
      </c>
      <c r="G116" s="7" t="s">
        <v>85</v>
      </c>
      <c r="H116" t="s">
        <v>75</v>
      </c>
      <c r="I116" t="s">
        <v>383</v>
      </c>
      <c r="J116" s="7">
        <v>8</v>
      </c>
      <c r="K116" s="7"/>
    </row>
    <row r="117" spans="2:11" x14ac:dyDescent="0.4">
      <c r="B117" t="s">
        <v>275</v>
      </c>
      <c r="C117" t="s">
        <v>478</v>
      </c>
      <c r="D117" t="s">
        <v>276</v>
      </c>
      <c r="E117" t="s">
        <v>278</v>
      </c>
      <c r="F117" s="7">
        <v>4</v>
      </c>
      <c r="G117" s="7" t="s">
        <v>83</v>
      </c>
      <c r="H117" t="s">
        <v>75</v>
      </c>
      <c r="I117" t="s">
        <v>341</v>
      </c>
      <c r="J117" s="7">
        <v>5</v>
      </c>
      <c r="K117" s="7"/>
    </row>
    <row r="118" spans="2:11" x14ac:dyDescent="0.4">
      <c r="B118" t="s">
        <v>271</v>
      </c>
      <c r="C118" t="s">
        <v>270</v>
      </c>
      <c r="D118" t="s">
        <v>277</v>
      </c>
      <c r="E118" t="s">
        <v>347</v>
      </c>
      <c r="F118" s="7">
        <v>4</v>
      </c>
      <c r="G118" s="7" t="s">
        <v>83</v>
      </c>
      <c r="H118" t="s">
        <v>75</v>
      </c>
      <c r="I118" t="s">
        <v>344</v>
      </c>
      <c r="J118" s="7">
        <v>5</v>
      </c>
      <c r="K118" s="7"/>
    </row>
    <row r="119" spans="2:11" x14ac:dyDescent="0.4">
      <c r="B119" t="s">
        <v>274</v>
      </c>
      <c r="C119" t="s">
        <v>470</v>
      </c>
      <c r="D119" t="s">
        <v>230</v>
      </c>
      <c r="E119" t="s">
        <v>21</v>
      </c>
      <c r="F119" s="7">
        <v>4</v>
      </c>
      <c r="G119" s="7" t="s">
        <v>83</v>
      </c>
      <c r="H119" t="s">
        <v>75</v>
      </c>
      <c r="I119" t="s">
        <v>360</v>
      </c>
      <c r="J119" s="7">
        <v>8</v>
      </c>
      <c r="K119" s="7"/>
    </row>
    <row r="120" spans="2:11" x14ac:dyDescent="0.4">
      <c r="B120" t="s">
        <v>268</v>
      </c>
      <c r="C120" t="s">
        <v>470</v>
      </c>
      <c r="D120" t="s">
        <v>232</v>
      </c>
      <c r="E120" t="s">
        <v>274</v>
      </c>
      <c r="F120" s="7">
        <v>5</v>
      </c>
      <c r="G120" s="7" t="s">
        <v>83</v>
      </c>
      <c r="H120" t="s">
        <v>75</v>
      </c>
      <c r="I120" t="s">
        <v>385</v>
      </c>
      <c r="J120" s="7">
        <v>4</v>
      </c>
      <c r="K120" s="7"/>
    </row>
    <row r="121" spans="2:11" x14ac:dyDescent="0.4">
      <c r="B121" t="s">
        <v>280</v>
      </c>
      <c r="C121" t="s">
        <v>470</v>
      </c>
      <c r="D121" t="s">
        <v>241</v>
      </c>
      <c r="E121" t="s">
        <v>429</v>
      </c>
      <c r="F121" s="7">
        <v>6</v>
      </c>
      <c r="G121" s="7" t="s">
        <v>82</v>
      </c>
      <c r="H121" t="s">
        <v>75</v>
      </c>
      <c r="I121" t="s">
        <v>378</v>
      </c>
      <c r="J121" s="7">
        <v>4</v>
      </c>
      <c r="K121" s="7"/>
    </row>
    <row r="122" spans="2:11" x14ac:dyDescent="0.4">
      <c r="B122" t="s">
        <v>287</v>
      </c>
      <c r="C122" t="s">
        <v>467</v>
      </c>
      <c r="D122" t="s">
        <v>234</v>
      </c>
      <c r="F122" s="7">
        <v>1</v>
      </c>
      <c r="G122" s="7" t="s">
        <v>83</v>
      </c>
      <c r="H122" t="s">
        <v>75</v>
      </c>
      <c r="I122" t="s">
        <v>7</v>
      </c>
      <c r="J122" s="7">
        <v>5</v>
      </c>
      <c r="K122" s="7"/>
    </row>
    <row r="123" spans="2:11" x14ac:dyDescent="0.4">
      <c r="B123" t="s">
        <v>282</v>
      </c>
      <c r="C123" t="s">
        <v>467</v>
      </c>
      <c r="D123" t="s">
        <v>239</v>
      </c>
      <c r="E123" t="s">
        <v>418</v>
      </c>
      <c r="F123" s="7">
        <v>2</v>
      </c>
      <c r="G123" s="7" t="s">
        <v>85</v>
      </c>
      <c r="H123" t="s">
        <v>75</v>
      </c>
      <c r="I123" t="s">
        <v>338</v>
      </c>
      <c r="J123" s="7">
        <v>8</v>
      </c>
      <c r="K123" s="7"/>
    </row>
    <row r="124" spans="2:11" x14ac:dyDescent="0.4">
      <c r="B124" t="s">
        <v>288</v>
      </c>
      <c r="C124" t="s">
        <v>467</v>
      </c>
      <c r="D124" t="s">
        <v>244</v>
      </c>
      <c r="E124" t="s">
        <v>282</v>
      </c>
      <c r="F124" s="7">
        <v>3</v>
      </c>
      <c r="G124" s="7" t="s">
        <v>83</v>
      </c>
      <c r="H124" t="s">
        <v>75</v>
      </c>
      <c r="I124" t="s">
        <v>362</v>
      </c>
      <c r="J124" s="7">
        <v>5</v>
      </c>
      <c r="K124" s="7"/>
    </row>
    <row r="125" spans="2:11" x14ac:dyDescent="0.4">
      <c r="B125" t="s">
        <v>279</v>
      </c>
      <c r="C125" t="s">
        <v>467</v>
      </c>
      <c r="D125" t="s">
        <v>283</v>
      </c>
      <c r="E125" t="s">
        <v>288</v>
      </c>
      <c r="F125" s="7">
        <v>4</v>
      </c>
      <c r="G125" s="7" t="s">
        <v>83</v>
      </c>
      <c r="H125" t="s">
        <v>75</v>
      </c>
      <c r="I125" t="s">
        <v>379</v>
      </c>
      <c r="J125" s="7">
        <v>5</v>
      </c>
      <c r="K125" s="7"/>
    </row>
    <row r="126" spans="2:11" x14ac:dyDescent="0.4">
      <c r="B126" t="s">
        <v>285</v>
      </c>
      <c r="C126" t="s">
        <v>467</v>
      </c>
      <c r="D126" t="s">
        <v>281</v>
      </c>
      <c r="E126" t="s">
        <v>279</v>
      </c>
      <c r="F126" s="7">
        <v>4</v>
      </c>
      <c r="G126" s="7" t="s">
        <v>82</v>
      </c>
      <c r="H126" t="s">
        <v>75</v>
      </c>
      <c r="I126" t="s">
        <v>387</v>
      </c>
      <c r="J126" s="7">
        <v>3</v>
      </c>
      <c r="K126" s="7"/>
    </row>
    <row r="127" spans="2:11" x14ac:dyDescent="0.4">
      <c r="B127" t="s">
        <v>284</v>
      </c>
      <c r="C127" t="s">
        <v>477</v>
      </c>
      <c r="D127" t="s">
        <v>286</v>
      </c>
      <c r="E127" t="s">
        <v>437</v>
      </c>
      <c r="F127" s="7">
        <v>4</v>
      </c>
      <c r="G127" s="7" t="s">
        <v>83</v>
      </c>
      <c r="H127" t="s">
        <v>75</v>
      </c>
      <c r="I127" t="s">
        <v>380</v>
      </c>
      <c r="J127" s="7">
        <v>5</v>
      </c>
      <c r="K127" s="7"/>
    </row>
    <row r="128" spans="2:11" x14ac:dyDescent="0.4">
      <c r="B128" t="s">
        <v>143</v>
      </c>
      <c r="C128" t="s">
        <v>477</v>
      </c>
      <c r="D128" t="s">
        <v>145</v>
      </c>
      <c r="E128" t="s">
        <v>417</v>
      </c>
      <c r="F128" s="7">
        <v>5</v>
      </c>
      <c r="G128" s="7" t="s">
        <v>85</v>
      </c>
      <c r="H128" t="s">
        <v>75</v>
      </c>
      <c r="I128" t="s">
        <v>355</v>
      </c>
      <c r="J128" s="7">
        <v>8</v>
      </c>
      <c r="K128" s="7"/>
    </row>
    <row r="129" spans="2:11" x14ac:dyDescent="0.4">
      <c r="B129" t="s">
        <v>146</v>
      </c>
      <c r="C129" t="s">
        <v>477</v>
      </c>
      <c r="D129" t="s">
        <v>245</v>
      </c>
      <c r="E129" t="s">
        <v>419</v>
      </c>
      <c r="F129" s="7">
        <v>6</v>
      </c>
      <c r="G129" s="7" t="s">
        <v>83</v>
      </c>
      <c r="H129" t="s">
        <v>75</v>
      </c>
      <c r="I129" t="s">
        <v>567</v>
      </c>
      <c r="J129" s="7">
        <v>3</v>
      </c>
      <c r="K129" s="7"/>
    </row>
    <row r="130" spans="2:11" x14ac:dyDescent="0.4">
      <c r="B130" t="s">
        <v>150</v>
      </c>
      <c r="C130" t="s">
        <v>469</v>
      </c>
      <c r="D130" t="s">
        <v>236</v>
      </c>
      <c r="E130" t="s">
        <v>431</v>
      </c>
      <c r="F130" s="7">
        <v>6</v>
      </c>
      <c r="G130" s="7" t="s">
        <v>83</v>
      </c>
      <c r="H130" t="s">
        <v>75</v>
      </c>
      <c r="I130" t="s">
        <v>35</v>
      </c>
      <c r="J130" s="7">
        <v>8</v>
      </c>
      <c r="K130" s="7"/>
    </row>
    <row r="131" spans="2:11" x14ac:dyDescent="0.4">
      <c r="B131" t="s">
        <v>148</v>
      </c>
      <c r="C131" t="s">
        <v>469</v>
      </c>
      <c r="D131" t="s">
        <v>246</v>
      </c>
      <c r="E131" t="s">
        <v>436</v>
      </c>
      <c r="F131" s="7">
        <v>7</v>
      </c>
      <c r="G131" s="7" t="s">
        <v>83</v>
      </c>
      <c r="H131" t="s">
        <v>75</v>
      </c>
      <c r="I131" t="s">
        <v>98</v>
      </c>
      <c r="J131" s="7">
        <v>8</v>
      </c>
      <c r="K131" s="7"/>
    </row>
    <row r="132" spans="2:11" x14ac:dyDescent="0.4">
      <c r="B132" t="s">
        <v>144</v>
      </c>
      <c r="C132" t="s">
        <v>469</v>
      </c>
      <c r="D132" t="s">
        <v>249</v>
      </c>
      <c r="E132" t="s">
        <v>425</v>
      </c>
      <c r="F132" s="7">
        <v>8</v>
      </c>
      <c r="G132" s="7" t="s">
        <v>85</v>
      </c>
      <c r="H132" t="s">
        <v>75</v>
      </c>
      <c r="I132" t="s">
        <v>40</v>
      </c>
      <c r="J132" s="7">
        <v>8</v>
      </c>
      <c r="K132" s="7"/>
    </row>
    <row r="133" spans="2:11" x14ac:dyDescent="0.4">
      <c r="B133" t="s">
        <v>149</v>
      </c>
      <c r="C133" t="s">
        <v>469</v>
      </c>
      <c r="D133" t="s">
        <v>222</v>
      </c>
      <c r="E133" t="s">
        <v>415</v>
      </c>
      <c r="F133" s="7">
        <v>7</v>
      </c>
      <c r="G133" s="7" t="s">
        <v>83</v>
      </c>
      <c r="H133" t="s">
        <v>75</v>
      </c>
      <c r="I133" t="s">
        <v>93</v>
      </c>
      <c r="J133" s="7">
        <v>5</v>
      </c>
      <c r="K133" s="7"/>
    </row>
    <row r="134" spans="2:11" x14ac:dyDescent="0.4">
      <c r="B134" t="s">
        <v>147</v>
      </c>
      <c r="C134" t="s">
        <v>469</v>
      </c>
      <c r="D134" t="s">
        <v>250</v>
      </c>
      <c r="E134" t="s">
        <v>421</v>
      </c>
      <c r="F134" s="7">
        <v>8</v>
      </c>
      <c r="G134" s="7" t="s">
        <v>83</v>
      </c>
      <c r="H134" t="s">
        <v>75</v>
      </c>
      <c r="I134" t="s">
        <v>6</v>
      </c>
      <c r="J134" s="7">
        <v>3</v>
      </c>
      <c r="K134" s="7"/>
    </row>
    <row r="135" spans="2:11" x14ac:dyDescent="0.4">
      <c r="B135" t="s">
        <v>151</v>
      </c>
      <c r="C135" t="s">
        <v>466</v>
      </c>
      <c r="D135" t="s">
        <v>221</v>
      </c>
      <c r="F135" s="7">
        <v>1</v>
      </c>
      <c r="G135" s="7" t="s">
        <v>85</v>
      </c>
      <c r="H135" t="s">
        <v>75</v>
      </c>
      <c r="I135" t="s">
        <v>340</v>
      </c>
      <c r="J135" s="7">
        <v>8</v>
      </c>
      <c r="K135" s="7"/>
    </row>
    <row r="136" spans="2:11" x14ac:dyDescent="0.4">
      <c r="B136" t="s">
        <v>154</v>
      </c>
      <c r="C136" t="s">
        <v>466</v>
      </c>
      <c r="D136" t="s">
        <v>156</v>
      </c>
      <c r="E136" t="s">
        <v>151</v>
      </c>
      <c r="F136" s="7">
        <v>4</v>
      </c>
      <c r="G136" s="7" t="s">
        <v>83</v>
      </c>
      <c r="H136" t="s">
        <v>75</v>
      </c>
      <c r="I136" t="s">
        <v>434</v>
      </c>
      <c r="J136" s="7">
        <v>5</v>
      </c>
      <c r="K136" s="7"/>
    </row>
    <row r="137" spans="2:11" x14ac:dyDescent="0.4">
      <c r="B137" t="s">
        <v>157</v>
      </c>
      <c r="C137" t="s">
        <v>466</v>
      </c>
      <c r="D137" t="s">
        <v>159</v>
      </c>
      <c r="E137" t="s">
        <v>426</v>
      </c>
      <c r="F137" s="7">
        <v>4</v>
      </c>
      <c r="G137" s="7" t="s">
        <v>85</v>
      </c>
      <c r="H137" t="s">
        <v>75</v>
      </c>
      <c r="I137" t="s">
        <v>351</v>
      </c>
      <c r="J137" s="7">
        <v>8</v>
      </c>
      <c r="K137" s="7"/>
    </row>
    <row r="138" spans="2:11" x14ac:dyDescent="0.4">
      <c r="B138" t="s">
        <v>158</v>
      </c>
      <c r="C138" t="s">
        <v>466</v>
      </c>
      <c r="D138" t="s">
        <v>153</v>
      </c>
      <c r="E138" t="s">
        <v>420</v>
      </c>
      <c r="F138" s="7">
        <v>5</v>
      </c>
      <c r="G138" s="7" t="s">
        <v>85</v>
      </c>
      <c r="H138" t="s">
        <v>75</v>
      </c>
      <c r="I138" t="s">
        <v>388</v>
      </c>
      <c r="J138" s="7">
        <v>8</v>
      </c>
      <c r="K138" s="7"/>
    </row>
    <row r="139" spans="2:11" x14ac:dyDescent="0.4">
      <c r="B139" t="s">
        <v>152</v>
      </c>
      <c r="C139" t="s">
        <v>466</v>
      </c>
      <c r="D139" t="s">
        <v>223</v>
      </c>
      <c r="E139" t="s">
        <v>428</v>
      </c>
      <c r="F139" s="7">
        <v>2</v>
      </c>
      <c r="G139" s="7" t="s">
        <v>83</v>
      </c>
      <c r="H139" t="s">
        <v>75</v>
      </c>
      <c r="I139" t="s">
        <v>381</v>
      </c>
      <c r="J139" s="7">
        <v>5</v>
      </c>
      <c r="K139" s="7"/>
    </row>
    <row r="140" spans="2:11" x14ac:dyDescent="0.4">
      <c r="B140" t="s">
        <v>155</v>
      </c>
      <c r="C140" t="s">
        <v>463</v>
      </c>
      <c r="D140" t="s">
        <v>253</v>
      </c>
      <c r="E140" t="s">
        <v>151</v>
      </c>
      <c r="F140" s="7">
        <v>2</v>
      </c>
      <c r="G140" s="7" t="s">
        <v>85</v>
      </c>
      <c r="H140" t="s">
        <v>75</v>
      </c>
      <c r="I140" t="s">
        <v>99</v>
      </c>
      <c r="J140" s="7">
        <v>10</v>
      </c>
      <c r="K140" s="7"/>
    </row>
    <row r="141" spans="2:11" x14ac:dyDescent="0.4">
      <c r="B141" t="s">
        <v>160</v>
      </c>
      <c r="C141" t="s">
        <v>463</v>
      </c>
      <c r="D141" t="s">
        <v>255</v>
      </c>
      <c r="E141" t="s">
        <v>348</v>
      </c>
      <c r="F141" s="7">
        <v>4</v>
      </c>
      <c r="G141" s="7" t="s">
        <v>83</v>
      </c>
      <c r="H141" t="s">
        <v>75</v>
      </c>
      <c r="I141" t="s">
        <v>37</v>
      </c>
      <c r="J141" s="7">
        <v>8</v>
      </c>
      <c r="K141" s="7"/>
    </row>
    <row r="142" spans="2:11" x14ac:dyDescent="0.4">
      <c r="B142" t="s">
        <v>167</v>
      </c>
      <c r="C142" t="s">
        <v>463</v>
      </c>
      <c r="D142" t="s">
        <v>22</v>
      </c>
      <c r="E142" t="s">
        <v>422</v>
      </c>
      <c r="F142" s="7">
        <v>5</v>
      </c>
      <c r="G142" s="7" t="s">
        <v>83</v>
      </c>
      <c r="H142" t="s">
        <v>75</v>
      </c>
      <c r="I142" t="s">
        <v>91</v>
      </c>
      <c r="J142" s="7">
        <v>5</v>
      </c>
      <c r="K142" s="7"/>
    </row>
    <row r="143" spans="2:11" x14ac:dyDescent="0.4">
      <c r="B143" t="s">
        <v>162</v>
      </c>
      <c r="C143" t="s">
        <v>168</v>
      </c>
      <c r="D143" t="s">
        <v>256</v>
      </c>
      <c r="E143" t="s">
        <v>427</v>
      </c>
      <c r="F143" s="7">
        <v>3</v>
      </c>
      <c r="G143" s="7" t="s">
        <v>83</v>
      </c>
      <c r="H143" t="s">
        <v>75</v>
      </c>
      <c r="I143" t="s">
        <v>357</v>
      </c>
      <c r="J143" s="7">
        <v>5</v>
      </c>
      <c r="K143" s="7"/>
    </row>
    <row r="144" spans="2:11" x14ac:dyDescent="0.4">
      <c r="B144" t="s">
        <v>163</v>
      </c>
      <c r="C144" t="s">
        <v>168</v>
      </c>
      <c r="D144" t="s">
        <v>164</v>
      </c>
      <c r="E144" t="s">
        <v>416</v>
      </c>
      <c r="F144" s="7">
        <v>4</v>
      </c>
      <c r="G144" s="7" t="s">
        <v>85</v>
      </c>
      <c r="H144" t="s">
        <v>75</v>
      </c>
      <c r="I144" t="s">
        <v>345</v>
      </c>
      <c r="J144" s="7">
        <v>8</v>
      </c>
      <c r="K144" s="7"/>
    </row>
    <row r="145" spans="2:11" x14ac:dyDescent="0.4">
      <c r="B145" t="s">
        <v>165</v>
      </c>
      <c r="C145" t="s">
        <v>168</v>
      </c>
      <c r="D145" t="s">
        <v>161</v>
      </c>
      <c r="E145" t="s">
        <v>432</v>
      </c>
      <c r="F145" s="7">
        <v>5</v>
      </c>
      <c r="G145" s="7" t="s">
        <v>83</v>
      </c>
      <c r="H145" t="s">
        <v>75</v>
      </c>
      <c r="I145" t="s">
        <v>424</v>
      </c>
      <c r="J145" s="7">
        <v>3</v>
      </c>
      <c r="K145" s="7"/>
    </row>
    <row r="146" spans="2:11" x14ac:dyDescent="0.4">
      <c r="B146" t="s">
        <v>166</v>
      </c>
      <c r="C146" t="s">
        <v>168</v>
      </c>
      <c r="D146" t="s">
        <v>138</v>
      </c>
      <c r="E146" t="s">
        <v>146</v>
      </c>
      <c r="F146" s="7">
        <v>7</v>
      </c>
      <c r="G146" s="7" t="s">
        <v>83</v>
      </c>
      <c r="H146" t="s">
        <v>75</v>
      </c>
      <c r="I146" t="s">
        <v>389</v>
      </c>
      <c r="J146" s="7">
        <v>5</v>
      </c>
      <c r="K146" s="7"/>
    </row>
    <row r="147" spans="2:11" x14ac:dyDescent="0.4">
      <c r="B147" t="s">
        <v>139</v>
      </c>
      <c r="C147" t="s">
        <v>168</v>
      </c>
      <c r="D147" t="s">
        <v>257</v>
      </c>
      <c r="E147" t="s">
        <v>166</v>
      </c>
      <c r="F147" s="7">
        <v>8</v>
      </c>
      <c r="G147" s="7" t="s">
        <v>83</v>
      </c>
      <c r="H147" t="s">
        <v>75</v>
      </c>
      <c r="I147" t="s">
        <v>560</v>
      </c>
      <c r="J147" s="7">
        <v>3</v>
      </c>
      <c r="K147" s="7"/>
    </row>
    <row r="148" spans="2:11" x14ac:dyDescent="0.4">
      <c r="B148" t="s">
        <v>136</v>
      </c>
      <c r="C148" t="s">
        <v>439</v>
      </c>
      <c r="D148" t="s">
        <v>254</v>
      </c>
      <c r="E148" t="s">
        <v>433</v>
      </c>
      <c r="F148" s="7">
        <v>8</v>
      </c>
      <c r="G148" s="7" t="s">
        <v>83</v>
      </c>
      <c r="H148" t="s">
        <v>75</v>
      </c>
      <c r="I148" t="s">
        <v>386</v>
      </c>
      <c r="J148" s="7">
        <v>8</v>
      </c>
      <c r="K148" s="7"/>
    </row>
    <row r="149" spans="2:11" x14ac:dyDescent="0.4">
      <c r="B149" t="s">
        <v>137</v>
      </c>
      <c r="C149" t="s">
        <v>439</v>
      </c>
      <c r="D149" t="s">
        <v>188</v>
      </c>
      <c r="E149" t="s">
        <v>350</v>
      </c>
      <c r="F149" s="7">
        <v>8</v>
      </c>
      <c r="G149" s="7" t="s">
        <v>83</v>
      </c>
      <c r="H149" t="s">
        <v>75</v>
      </c>
      <c r="I149" t="s">
        <v>384</v>
      </c>
      <c r="J149" s="7">
        <v>5</v>
      </c>
      <c r="K149" s="7"/>
    </row>
    <row r="150" spans="2:11" x14ac:dyDescent="0.4">
      <c r="B150" t="s">
        <v>140</v>
      </c>
      <c r="C150" t="s">
        <v>439</v>
      </c>
      <c r="D150" t="s">
        <v>186</v>
      </c>
      <c r="E150" t="s">
        <v>94</v>
      </c>
      <c r="F150" s="7">
        <v>8</v>
      </c>
      <c r="G150" s="7" t="s">
        <v>85</v>
      </c>
      <c r="H150" t="s">
        <v>75</v>
      </c>
      <c r="I150" t="s">
        <v>353</v>
      </c>
      <c r="J150" s="7">
        <v>10</v>
      </c>
      <c r="K150" s="7"/>
    </row>
    <row r="151" spans="2:11" x14ac:dyDescent="0.4">
      <c r="B151" t="s">
        <v>141</v>
      </c>
      <c r="C151" t="s">
        <v>439</v>
      </c>
      <c r="D151" t="s">
        <v>187</v>
      </c>
      <c r="E151" t="s">
        <v>349</v>
      </c>
      <c r="F151" s="7">
        <v>8</v>
      </c>
      <c r="G151" s="7" t="s">
        <v>83</v>
      </c>
      <c r="H151" t="s">
        <v>75</v>
      </c>
      <c r="I151" t="s">
        <v>44</v>
      </c>
      <c r="J151" s="7">
        <v>8</v>
      </c>
      <c r="K151" s="7"/>
    </row>
    <row r="152" spans="2:11" x14ac:dyDescent="0.4">
      <c r="F152" s="8"/>
      <c r="G152" s="8"/>
      <c r="J152" s="8"/>
      <c r="K152" s="8"/>
    </row>
  </sheetData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오락실(5팀) 기능명세 &amp; 일정관리표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김</dc:creator>
  <cp:lastModifiedBy>지훈 김</cp:lastModifiedBy>
  <cp:revision>6</cp:revision>
  <dcterms:created xsi:type="dcterms:W3CDTF">2026-10-15T07:46:34Z</dcterms:created>
  <dcterms:modified xsi:type="dcterms:W3CDTF">2026-10-15T08:31:29Z</dcterms:modified>
  <cp:version>1200.0100.01</cp:version>
</cp:coreProperties>
</file>